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s" sheetId="1" state="visible" r:id="rId3"/>
    <sheet name="Summary" sheetId="2" state="visible" r:id="rId4"/>
    <sheet name="Glossary" sheetId="3" state="visible" r:id="rId5"/>
    <sheet name="After the gate comple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<sst xmlns="http://schemas.openxmlformats.org/spreadsheetml/2006/main" count="638" uniqueCount="239">
  <si>
    <t xml:space="preserve">run_id</t>
  </si>
  <si>
    <t xml:space="preserve">start_utc</t>
  </si>
  <si>
    <t xml:space="preserve">model</t>
  </si>
  <si>
    <t xml:space="preserve">turns</t>
  </si>
  <si>
    <t xml:space="preserve">commands_run</t>
  </si>
  <si>
    <t xml:space="preserve">self_test_runs</t>
  </si>
  <si>
    <t xml:space="preserve">test_failures</t>
  </si>
  <si>
    <t xml:space="preserve">iterations_to_green</t>
  </si>
  <si>
    <t xml:space="preserve">repair_cycles</t>
  </si>
  <si>
    <t xml:space="preserve">did_reinstall</t>
  </si>
  <si>
    <t xml:space="preserve">tok_input</t>
  </si>
  <si>
    <t xml:space="preserve">tok_output</t>
  </si>
  <si>
    <t xml:space="preserve">tok_cache_read</t>
  </si>
  <si>
    <t xml:space="preserve">cost_usd</t>
  </si>
  <si>
    <t xml:space="preserve">executor_wall_s</t>
  </si>
  <si>
    <t xml:space="preserve">gate_ms</t>
  </si>
  <si>
    <t xml:space="preserve">verdict</t>
  </si>
  <si>
    <t xml:space="preserve">reason_codes</t>
  </si>
  <si>
    <t xml:space="preserve">files_changed</t>
  </si>
  <si>
    <t xml:space="preserve">changed_paths</t>
  </si>
  <si>
    <t xml:space="preserve">unexpected_paths</t>
  </si>
  <si>
    <t xml:space="preserve">scope_creep</t>
  </si>
  <si>
    <t xml:space="preserve">lines_added</t>
  </si>
  <si>
    <t xml:space="preserve">lines_removed</t>
  </si>
  <si>
    <t xml:space="preserve">claimed_success</t>
  </si>
  <si>
    <t xml:space="preserve">task_ref</t>
  </si>
  <si>
    <t xml:space="preserve">card_sha</t>
  </si>
  <si>
    <t xml:space="preserve">policy_sha</t>
  </si>
  <si>
    <t xml:space="preserve">base_commit</t>
  </si>
  <si>
    <t xml:space="preserve">gate_version</t>
  </si>
  <si>
    <t xml:space="preserve">executor_version</t>
  </si>
  <si>
    <t xml:space="preserve">v2-20260903T190015Z</t>
  </si>
  <si>
    <t xml:space="preserve">2026-09-03 19:00:15</t>
  </si>
  <si>
    <t xml:space="preserve">claude-haiku-4-5-20251001</t>
  </si>
  <si>
    <t xml:space="preserve">1</t>
  </si>
  <si>
    <t xml:space="preserve">NEEDS_HUMAN</t>
  </si>
  <si>
    <t xml:space="preserve">PATH_OUTSIDE_ALLOWED;PATH_REVIEW_REQUIRED</t>
  </si>
  <si>
    <t xml:space="preserve">CHANGELOG.md|README.md|setup.py|slugify/slugify.py|tox.ini</t>
  </si>
  <si>
    <t xml:space="preserve">CHANGELOG.md</t>
  </si>
  <si>
    <t xml:space="preserve">X1@v3</t>
  </si>
  <si>
    <t xml:space="preserve">9f5ae3e41d4d</t>
  </si>
  <si>
    <t xml:space="preserve">853db4b43f20</t>
  </si>
  <si>
    <t xml:space="preserve">fbb0901f92b8</t>
  </si>
  <si>
    <t xml:space="preserve">0.6.0</t>
  </si>
  <si>
    <t xml:space="preserve">2.1.259</t>
  </si>
  <si>
    <t xml:space="preserve">v2-20260903T190441Z</t>
  </si>
  <si>
    <t xml:space="preserve">2026-09-03 19:04:41</t>
  </si>
  <si>
    <t xml:space="preserve">PASS</t>
  </si>
  <si>
    <t xml:space="preserve">-</t>
  </si>
  <si>
    <t xml:space="preserve">README.md|setup.py|slugify/slugify.py|tox.ini</t>
  </si>
  <si>
    <t xml:space="preserve">v2-20260903T190602Z</t>
  </si>
  <si>
    <t xml:space="preserve">2026-09-03 19:06:02</t>
  </si>
  <si>
    <t xml:space="preserve">FAIL</t>
  </si>
  <si>
    <t xml:space="preserve">ASSERTION_FAILED</t>
  </si>
  <si>
    <t xml:space="preserve">v2-20260903T190720Z</t>
  </si>
  <si>
    <t xml:space="preserve">2026-09-03 19:07:20</t>
  </si>
  <si>
    <t xml:space="preserve">v2-20260903T190837Z</t>
  </si>
  <si>
    <t xml:space="preserve">2026-09-03 19:08:37</t>
  </si>
  <si>
    <t xml:space="preserve">v2-20260903T191006Z</t>
  </si>
  <si>
    <t xml:space="preserve">2026-09-03 19:10:06</t>
  </si>
  <si>
    <t xml:space="preserve">v2-20260903T191138Z</t>
  </si>
  <si>
    <t xml:space="preserve">2026-09-03 19:11:38</t>
  </si>
  <si>
    <t xml:space="preserve">v2-20260903T191305Z</t>
  </si>
  <si>
    <t xml:space="preserve">2026-09-03 19:13:05</t>
  </si>
  <si>
    <t xml:space="preserve">v2-20260903T191426Z</t>
  </si>
  <si>
    <t xml:space="preserve">2026-09-03 19:14:26</t>
  </si>
  <si>
    <t xml:space="preserve">v2-20260903T191549Z</t>
  </si>
  <si>
    <t xml:space="preserve">2026-09-03 19:15:49</t>
  </si>
  <si>
    <t xml:space="preserve">v2-20260903T191723Z</t>
  </si>
  <si>
    <t xml:space="preserve">2026-09-03 19:17:23</t>
  </si>
  <si>
    <t xml:space="preserve">v2-20260903T191853Z</t>
  </si>
  <si>
    <t xml:space="preserve">2026-09-03 19:18:53</t>
  </si>
  <si>
    <t xml:space="preserve">v2-20260903T192020Z</t>
  </si>
  <si>
    <t xml:space="preserve">2026-09-03 19:20:20</t>
  </si>
  <si>
    <t xml:space="preserve">README.md|setup.py|slugify/slugify.py</t>
  </si>
  <si>
    <t xml:space="preserve">v2-20260903T192127Z</t>
  </si>
  <si>
    <t xml:space="preserve">2026-09-03 19:21:27</t>
  </si>
  <si>
    <t xml:space="preserve">ASSERTION_FAILED;PATH_OUTSIDE_ALLOWED;PATH_REVIEW_REQUIRED</t>
  </si>
  <si>
    <t xml:space="preserve">CHANGELOG.md|README.md|setup.py|slugify/slugify.py</t>
  </si>
  <si>
    <t xml:space="preserve">v2-20260903T192235Z</t>
  </si>
  <si>
    <t xml:space="preserve">2026-09-03 19:22:35</t>
  </si>
  <si>
    <t xml:space="preserve">v2-20260903T192354Z</t>
  </si>
  <si>
    <t xml:space="preserve">2026-09-03 19:23:54</t>
  </si>
  <si>
    <t xml:space="preserve">v2-20260903T192523Z</t>
  </si>
  <si>
    <t xml:space="preserve">2026-09-03 19:25:23</t>
  </si>
  <si>
    <t xml:space="preserve">v2-20260903T192649Z</t>
  </si>
  <si>
    <t xml:space="preserve">2026-09-03 19:26:49</t>
  </si>
  <si>
    <t xml:space="preserve">v2-20260903T192820Z</t>
  </si>
  <si>
    <t xml:space="preserve">2026-09-03 19:28:20</t>
  </si>
  <si>
    <t xml:space="preserve">v2-20260903T192935Z</t>
  </si>
  <si>
    <t xml:space="preserve">2026-09-03 19:29:35</t>
  </si>
  <si>
    <t xml:space="preserve">v2-20260903T193105Z</t>
  </si>
  <si>
    <t xml:space="preserve">2026-09-03 19:31:05</t>
  </si>
  <si>
    <t xml:space="preserve">v2-20260903T193224Z</t>
  </si>
  <si>
    <t xml:space="preserve">2026-09-03 19:32:24</t>
  </si>
  <si>
    <t xml:space="preserve">v2-20260903T193342Z</t>
  </si>
  <si>
    <t xml:space="preserve">2026-09-03 19:33:42</t>
  </si>
  <si>
    <t xml:space="preserve">v2-20260903T193522Z</t>
  </si>
  <si>
    <t xml:space="preserve">2026-09-03 19:35:22</t>
  </si>
  <si>
    <t xml:space="preserve">v2-20260903T193642Z</t>
  </si>
  <si>
    <t xml:space="preserve">2026-09-03 19:36:42</t>
  </si>
  <si>
    <t xml:space="preserve">v2-20260903T193819Z</t>
  </si>
  <si>
    <t xml:space="preserve">2026-09-03 19:38:19</t>
  </si>
  <si>
    <t xml:space="preserve">v2-20260903T193948Z</t>
  </si>
  <si>
    <t xml:space="preserve">2026-09-03 19:39:48</t>
  </si>
  <si>
    <t xml:space="preserve">v2-20260903T194108Z</t>
  </si>
  <si>
    <t xml:space="preserve">2026-09-03 19:41:08</t>
  </si>
  <si>
    <t xml:space="preserve">v2-20260903T194249Z</t>
  </si>
  <si>
    <t xml:space="preserve">2026-09-03 19:42:49</t>
  </si>
  <si>
    <t xml:space="preserve">v2-20260903T194426Z</t>
  </si>
  <si>
    <t xml:space="preserve">2026-09-03 19:44:26</t>
  </si>
  <si>
    <t xml:space="preserve">v2-20260903T194551Z</t>
  </si>
  <si>
    <t xml:space="preserve">2026-09-03 19:45:51</t>
  </si>
  <si>
    <t xml:space="preserve">SDLC Online Campaign v2 - 30 live runs + 1 validation, gate only, no oracle</t>
  </si>
  <si>
    <t xml:space="preserve">Task X1 on python-slugify. Fresh claude -p session (model pinned) edits the repo; release-gate 0.6.0 judges it. No oracle: the verdict is the outcome. All rows: card 9f5ae3e4, base fbb0901f, policy 853db4b4.</t>
  </si>
  <si>
    <t xml:space="preserve">Verdicts</t>
  </si>
  <si>
    <t xml:space="preserve">Averages</t>
  </si>
  <si>
    <t xml:space="preserve">cost / run</t>
  </si>
  <si>
    <t xml:space="preserve">total cost</t>
  </si>
  <si>
    <t xml:space="preserve">executor wall (s)</t>
  </si>
  <si>
    <t xml:space="preserve">total</t>
  </si>
  <si>
    <t xml:space="preserve">lines added</t>
  </si>
  <si>
    <t xml:space="preserve">lines removed</t>
  </si>
  <si>
    <t xml:space="preserve">Struggle index (from executor transcript)</t>
  </si>
  <si>
    <t xml:space="preserve">runs that hit a test failure</t>
  </si>
  <si>
    <t xml:space="preserve">runs needing repair cycles</t>
  </si>
  <si>
    <t xml:space="preserve">runs reaching green on 1st self-test</t>
  </si>
  <si>
    <t xml:space="preserve">runs that reinstalled the dep</t>
  </si>
  <si>
    <t xml:space="preserve">runs flagged scope creep</t>
  </si>
  <si>
    <t xml:space="preserve">Consistency of changes</t>
  </si>
  <si>
    <t xml:space="preserve">Calibration</t>
  </si>
  <si>
    <t xml:space="preserve">file</t>
  </si>
  <si>
    <t xml:space="preserve">versions</t>
  </si>
  <si>
    <t xml:space="preserve">reading</t>
  </si>
  <si>
    <t xml:space="preserve">claimed success</t>
  </si>
  <si>
    <t xml:space="preserve">setup.py</t>
  </si>
  <si>
    <t xml:space="preserve">byte-identical every run</t>
  </si>
  <si>
    <t xml:space="preserve">... but verdict != PASS</t>
  </si>
  <si>
    <t xml:space="preserve">slugify/slugify.py</t>
  </si>
  <si>
    <t xml:space="preserve">The model declared success on every run; the gate disagreed on the count at right.</t>
  </si>
  <si>
    <t xml:space="preserve">tox.ini</t>
  </si>
  <si>
    <t xml:space="preserve">5</t>
  </si>
  <si>
    <t xml:space="preserve">minor variants</t>
  </si>
  <si>
    <t xml:space="preserve">README.md</t>
  </si>
  <si>
    <t xml:space="preserve">16</t>
  </si>
  <si>
    <t xml:space="preserve">improvises every run</t>
  </si>
  <si>
    <t xml:space="preserve">7</t>
  </si>
  <si>
    <t xml:space="preserve">UNREQUESTED - trips scope creep (7 runs)</t>
  </si>
  <si>
    <t xml:space="preserve">The code the gate checks (setup.py, slugify.py) is byte-identical across all 31 runs. Everything unchecked - prose, changelog - varies. Stable where verified, improvised where not.</t>
  </si>
  <si>
    <t xml:space="preserve">Caveats</t>
  </si>
  <si>
    <t xml:space="preserve">Verdict distribution, not accuracy - no oracle. 21/31 PASS (68%); 10 non-PASS: 7 scope-creep escalations (CHANGELOG edited) + 3 incomplete-sweep FAILs. Wilson 95% at n=31: with 10 non-PASS, true non-PASS rate ~19-49%.</t>
  </si>
  <si>
    <t xml:space="preserve">column</t>
  </si>
  <si>
    <t xml:space="preserve">what it means</t>
  </si>
  <si>
    <t xml:space="preserve">source</t>
  </si>
  <si>
    <t xml:space="preserve">reported or computed</t>
  </si>
  <si>
    <t xml:space="preserve">unique id for the run</t>
  </si>
  <si>
    <t xml:space="preserve">our script (UTC timestamp)</t>
  </si>
  <si>
    <t xml:space="preserve">computed</t>
  </si>
  <si>
    <t xml:space="preserve">when the executor started</t>
  </si>
  <si>
    <t xml:space="preserve">our script (date command)</t>
  </si>
  <si>
    <t xml:space="preserve">model the executor actually used</t>
  </si>
  <si>
    <t xml:space="preserve">claude -p JSON: modelUsage key</t>
  </si>
  <si>
    <t xml:space="preserve">reported by Anthropic CLI</t>
  </si>
  <si>
    <t xml:space="preserve">assistant turns in the session</t>
  </si>
  <si>
    <t xml:space="preserve">claude -p JSON: num_turns</t>
  </si>
  <si>
    <t xml:space="preserve">shell commands the model ran</t>
  </si>
  <si>
    <t xml:space="preserve">transcript: count of Bash tool calls</t>
  </si>
  <si>
    <t xml:space="preserve">computed from transcript</t>
  </si>
  <si>
    <t xml:space="preserve">times the model ran pytest itself</t>
  </si>
  <si>
    <t xml:space="preserve">transcript: Bash calls containing pytest</t>
  </si>
  <si>
    <t xml:space="preserve">self-tests that came back failing</t>
  </si>
  <si>
    <t xml:space="preserve">transcript: failing pytest results</t>
  </si>
  <si>
    <t xml:space="preserve">which self-test first passed</t>
  </si>
  <si>
    <t xml:space="preserve">transcript: index of first green pytest</t>
  </si>
  <si>
    <t xml:space="preserve">edits made after a failing test</t>
  </si>
  <si>
    <t xml:space="preserve">transcript: edits following a red pytest</t>
  </si>
  <si>
    <t xml:space="preserve">did the model pip install -e .</t>
  </si>
  <si>
    <t xml:space="preserve">transcript: Bash call with pip install -e</t>
  </si>
  <si>
    <t xml:space="preserve">tok_input / output / cache</t>
  </si>
  <si>
    <t xml:space="preserve">token counts for the session</t>
  </si>
  <si>
    <t xml:space="preserve">claude -p JSON: modelUsage</t>
  </si>
  <si>
    <t xml:space="preserve">session cost in USD</t>
  </si>
  <si>
    <t xml:space="preserve">claude -p JSON: total_cost_usd</t>
  </si>
  <si>
    <t xml:space="preserve">stopwatch around the claude call</t>
  </si>
  <si>
    <t xml:space="preserve">our script (two date +%s)</t>
  </si>
  <si>
    <t xml:space="preserve">gate decision duration</t>
  </si>
  <si>
    <t xml:space="preserve">gate result.json: duration_ms</t>
  </si>
  <si>
    <t xml:space="preserve">reported by release-gate</t>
  </si>
  <si>
    <t xml:space="preserve">PASS / FAIL / NEEDS_HUMAN</t>
  </si>
  <si>
    <t xml:space="preserve">gate result.json: verdict</t>
  </si>
  <si>
    <t xml:space="preserve">why the gate decided that</t>
  </si>
  <si>
    <t xml:space="preserve">gate result.json: reason_codes</t>
  </si>
  <si>
    <t xml:space="preserve">files_changed / changed_paths</t>
  </si>
  <si>
    <t xml:space="preserve">files the candidate touched</t>
  </si>
  <si>
    <t xml:space="preserve">gate result.json: scope.changed_paths</t>
  </si>
  <si>
    <t xml:space="preserve">changed files beyond the 4 expected</t>
  </si>
  <si>
    <t xml:space="preserve">our script (paths minus expected set)</t>
  </si>
  <si>
    <t xml:space="preserve">1 if it touched anything unexpected/forbidden</t>
  </si>
  <si>
    <t xml:space="preserve">gate scope result + our check</t>
  </si>
  <si>
    <t xml:space="preserve">reported + computed</t>
  </si>
  <si>
    <t xml:space="preserve">lines_added / removed</t>
  </si>
  <si>
    <t xml:space="preserve">size of the diff</t>
  </si>
  <si>
    <t xml:space="preserve">git diff --numstat</t>
  </si>
  <si>
    <t xml:space="preserve">diff_sha12</t>
  </si>
  <si>
    <t xml:space="preserve">fingerprint of the whole diff</t>
  </si>
  <si>
    <t xml:space="preserve">git diff | shasum</t>
  </si>
  <si>
    <t xml:space="preserve">did the model say it finished</t>
  </si>
  <si>
    <t xml:space="preserve">transcript: final result message</t>
  </si>
  <si>
    <t xml:space="preserve">the requirement link (Jira stand-in)</t>
  </si>
  <si>
    <t xml:space="preserve">our script (task@card-version)</t>
  </si>
  <si>
    <t xml:space="preserve">card_sha / policy_sha</t>
  </si>
  <si>
    <t xml:space="preserve">which task card / gate policy judged it</t>
  </si>
  <si>
    <t xml:space="preserve">file hash / gate result.json config_sha256</t>
  </si>
  <si>
    <t xml:space="preserve">computed / reported</t>
  </si>
  <si>
    <t xml:space="preserve">baseline the run started from</t>
  </si>
  <si>
    <t xml:space="preserve">gate result.json: base_commit</t>
  </si>
  <si>
    <t xml:space="preserve">gate_version / executor_version</t>
  </si>
  <si>
    <t xml:space="preserve">tool versions</t>
  </si>
  <si>
    <t xml:space="preserve">release-gate --version / claude --version</t>
  </si>
  <si>
    <t xml:space="preserve">reported by the tools</t>
  </si>
  <si>
    <t xml:space="preserve">No telemetry stack, no OTel. Every value is from two local JSON files (the Anthropic CLI output and the gate result.json) or our bash script. Nothing is estimated.</t>
  </si>
  <si>
    <t xml:space="preserve">Signals collected AFTER the gate verdict - not part of the per-run measurement</t>
  </si>
  <si>
    <t xml:space="preserve">These need a human process or a separate model, not run-time instrumentation. Left blank until the gate itself is validated and we agree the process.</t>
  </si>
  <si>
    <t xml:space="preserve">field</t>
  </si>
  <si>
    <t xml:space="preserve">what it is</t>
  </si>
  <si>
    <t xml:space="preserve">why it waits</t>
  </si>
  <si>
    <t xml:space="preserve">status</t>
  </si>
  <si>
    <t xml:space="preserve">human_review_result</t>
  </si>
  <si>
    <t xml:space="preserve">Approved / Changes Requested / Rejected on an escalated run</t>
  </si>
  <si>
    <t xml:space="preserve">needs a reviewer process; nothing dispositioned yet</t>
  </si>
  <si>
    <t xml:space="preserve">deferred - discuss</t>
  </si>
  <si>
    <t xml:space="preserve">requirement_alignment_score</t>
  </si>
  <si>
    <t xml:space="preserve">how well the change matches acceptance criteria</t>
  </si>
  <si>
    <t xml:space="preserve">an LLM scoring LLM output re-opens the self-attestation problem the gate exists to avoid; only valid as a separate, calibrated model</t>
  </si>
  <si>
    <t xml:space="preserve">after gate is validated</t>
  </si>
  <si>
    <t xml:space="preserve">deployment_outcome</t>
  </si>
  <si>
    <t xml:space="preserve">shipped / reverted / hotfixed after release</t>
  </si>
  <si>
    <t xml:space="preserve">the demo ends at the verdict by design; needs a real deploy + time</t>
  </si>
  <si>
    <t xml:space="preserve">out of scope for now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</si>
</sst>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0.0000"/>
    <numFmt numFmtId="166" formatCode="\$0.000"/>
    <numFmt numFmtId="167" formatCode="\$0.00"/>
    <numFmt numFmtId="168" formatCode="0"/>
    <numFmt numFmtId="169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99100"/>
      <name val="Arial"/>
      <family val="0"/>
      <charset val="1"/>
    </font>
    <font>
      <b val="true"/>
      <sz val="10"/>
      <color rgb="FF00B88C"/>
      <name val="Arial"/>
      <family val="0"/>
      <charset val="1"/>
    </font>
    <font>
      <b val="true"/>
      <sz val="10"/>
      <color rgb="FFE9425F"/>
      <name val="Arial"/>
      <family val="0"/>
      <charset val="1"/>
    </font>
    <font>
      <b val="true"/>
      <sz val="13"/>
      <color rgb="FF001928"/>
      <name val="Arial"/>
      <family val="0"/>
      <charset val="1"/>
    </font>
    <font>
      <sz val="9"/>
      <color rgb="FF646C76"/>
      <name val="Arial"/>
      <family val="0"/>
      <charset val="1"/>
    </font>
    <font>
      <b val="true"/>
      <sz val="10"/>
      <color rgb="FF001928"/>
      <name val="Arial"/>
      <family val="0"/>
      <charset val="1"/>
    </font>
    <font>
      <sz val="10"/>
      <color rgb="FF001928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646C76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46C76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00192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1928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88C"/>
      <rgbColor rgb="FF99CC00"/>
      <rgbColor rgb="FFFFCC00"/>
      <rgbColor rgb="FFD99100"/>
      <rgbColor rgb="FFE9425F"/>
      <rgbColor rgb="FF646C76"/>
      <rgbColor rgb="FF969696"/>
      <rgbColor rgb="FF003366"/>
      <rgbColor rgb="FF339966"/>
      <rgbColor rgb="FF0019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10" min="9" style="0" width="7"/>
    <col collapsed="false" customWidth="true" hidden="false" outlineLevel="0" max="12" min="11" style="0" width="9"/>
    <col collapsed="false" customWidth="true" hidden="false" outlineLevel="0" max="13" min="13" style="0" width="12"/>
    <col collapsed="false" customWidth="true" hidden="false" outlineLevel="0" max="15" min="14" style="0" width="9"/>
    <col collapsed="false" customWidth="true" hidden="false" outlineLevel="0" max="16" min="16" style="0" width="8"/>
    <col collapsed="false" customWidth="true" hidden="false" outlineLevel="0" max="17" min="17" style="0" width="13"/>
    <col collapsed="false" customWidth="true" hidden="false" outlineLevel="0" max="18" min="18" style="0" width="34"/>
    <col collapsed="false" customWidth="true" hidden="false" outlineLevel="0" max="19" min="19" style="0" width="7"/>
    <col collapsed="false" customWidth="true" hidden="false" outlineLevel="0" max="20" min="20" style="0" width="42"/>
    <col collapsed="false" customWidth="true" hidden="false" outlineLevel="0" max="21" min="21" style="0" width="16"/>
    <col collapsed="false" customWidth="true" hidden="false" outlineLevel="0" max="23" min="22" style="0" width="7"/>
    <col collapsed="false" customWidth="true" hidden="false" outlineLevel="0" max="25" min="24" style="0" width="8"/>
    <col collapsed="false" customWidth="true" hidden="false" outlineLevel="0" max="26" min="26" style="0" width="9"/>
    <col collapsed="false" customWidth="true" hidden="false" outlineLevel="0" max="29" min="27" style="0" width="13"/>
    <col collapsed="false" customWidth="true" hidden="false" outlineLevel="0" max="30" min="30" style="0" width="7"/>
    <col collapsed="false" customWidth="true" hidden="false" outlineLevel="0" max="31" min="3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n">
        <v>24</v>
      </c>
      <c r="E2" s="2" t="n">
        <v>6</v>
      </c>
      <c r="F2" s="2" t="n">
        <v>1</v>
      </c>
      <c r="G2" s="2" t="n">
        <v>0</v>
      </c>
      <c r="H2" s="2" t="s">
        <v>34</v>
      </c>
      <c r="I2" s="2" t="n">
        <v>0</v>
      </c>
      <c r="J2" s="2" t="n">
        <v>1</v>
      </c>
      <c r="K2" s="2" t="n">
        <v>1613</v>
      </c>
      <c r="L2" s="2" t="n">
        <v>6361</v>
      </c>
      <c r="M2" s="2" t="n">
        <v>953268</v>
      </c>
      <c r="N2" s="3" t="n">
        <v>0.1876</v>
      </c>
      <c r="O2" s="2" t="n">
        <v>82</v>
      </c>
      <c r="P2" s="2" t="n">
        <v>9530</v>
      </c>
      <c r="Q2" s="4" t="s">
        <v>35</v>
      </c>
      <c r="R2" s="2" t="s">
        <v>36</v>
      </c>
      <c r="S2" s="2" t="n">
        <v>5</v>
      </c>
      <c r="T2" s="2" t="s">
        <v>37</v>
      </c>
      <c r="U2" s="2" t="s">
        <v>38</v>
      </c>
      <c r="V2" s="2" t="n">
        <v>1</v>
      </c>
      <c r="W2" s="2" t="n">
        <v>13</v>
      </c>
      <c r="X2" s="2" t="n">
        <v>27</v>
      </c>
      <c r="Y2" s="2" t="n">
        <v>1</v>
      </c>
      <c r="Z2" s="2" t="s">
        <v>39</v>
      </c>
      <c r="AA2" s="2" t="s">
        <v>40</v>
      </c>
      <c r="AB2" s="2" t="s">
        <v>41</v>
      </c>
      <c r="AC2" s="2" t="s">
        <v>42</v>
      </c>
      <c r="AD2" s="2" t="s">
        <v>43</v>
      </c>
      <c r="AE2" s="2" t="s">
        <v>44</v>
      </c>
    </row>
    <row r="3" customFormat="false" ht="15" hidden="false" customHeight="false" outlineLevel="0" collapsed="false">
      <c r="A3" s="2" t="s">
        <v>45</v>
      </c>
      <c r="B3" s="2" t="s">
        <v>46</v>
      </c>
      <c r="C3" s="2" t="s">
        <v>33</v>
      </c>
      <c r="D3" s="2" t="n">
        <v>19</v>
      </c>
      <c r="E3" s="2" t="n">
        <v>5</v>
      </c>
      <c r="F3" s="2" t="n">
        <v>1</v>
      </c>
      <c r="G3" s="2" t="n">
        <v>0</v>
      </c>
      <c r="H3" s="2" t="s">
        <v>34</v>
      </c>
      <c r="I3" s="2" t="n">
        <v>0</v>
      </c>
      <c r="J3" s="2" t="n">
        <v>1</v>
      </c>
      <c r="K3" s="2" t="n">
        <v>1581</v>
      </c>
      <c r="L3" s="2" t="n">
        <v>5238</v>
      </c>
      <c r="M3" s="2" t="n">
        <v>749670</v>
      </c>
      <c r="N3" s="3" t="n">
        <v>0.1576</v>
      </c>
      <c r="O3" s="2" t="n">
        <v>70</v>
      </c>
      <c r="P3" s="2" t="n">
        <v>9768</v>
      </c>
      <c r="Q3" s="5" t="s">
        <v>47</v>
      </c>
      <c r="R3" s="2" t="s">
        <v>48</v>
      </c>
      <c r="S3" s="2" t="n">
        <v>4</v>
      </c>
      <c r="T3" s="2" t="s">
        <v>49</v>
      </c>
      <c r="U3" s="2" t="s">
        <v>48</v>
      </c>
      <c r="V3" s="2" t="n">
        <v>0</v>
      </c>
      <c r="W3" s="2" t="n">
        <v>10</v>
      </c>
      <c r="X3" s="2" t="n">
        <v>26</v>
      </c>
      <c r="Y3" s="2" t="n">
        <v>1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</row>
    <row r="4" customFormat="false" ht="15" hidden="false" customHeight="false" outlineLevel="0" collapsed="false">
      <c r="A4" s="2" t="s">
        <v>50</v>
      </c>
      <c r="B4" s="2" t="s">
        <v>51</v>
      </c>
      <c r="C4" s="2" t="s">
        <v>33</v>
      </c>
      <c r="D4" s="2" t="n">
        <v>20</v>
      </c>
      <c r="E4" s="2" t="n">
        <v>7</v>
      </c>
      <c r="F4" s="2" t="n">
        <v>1</v>
      </c>
      <c r="G4" s="2" t="n">
        <v>0</v>
      </c>
      <c r="H4" s="2" t="s">
        <v>34</v>
      </c>
      <c r="I4" s="2" t="n">
        <v>0</v>
      </c>
      <c r="J4" s="2" t="n">
        <v>1</v>
      </c>
      <c r="K4" s="2" t="n">
        <v>1573</v>
      </c>
      <c r="L4" s="2" t="n">
        <v>5139</v>
      </c>
      <c r="M4" s="2" t="n">
        <v>705895</v>
      </c>
      <c r="N4" s="3" t="n">
        <v>0.1497</v>
      </c>
      <c r="O4" s="2" t="n">
        <v>67</v>
      </c>
      <c r="P4" s="2" t="n">
        <v>9522</v>
      </c>
      <c r="Q4" s="6" t="s">
        <v>52</v>
      </c>
      <c r="R4" s="2" t="s">
        <v>53</v>
      </c>
      <c r="S4" s="2" t="n">
        <v>4</v>
      </c>
      <c r="T4" s="2" t="s">
        <v>49</v>
      </c>
      <c r="U4" s="2" t="s">
        <v>48</v>
      </c>
      <c r="V4" s="2" t="n">
        <v>0</v>
      </c>
      <c r="W4" s="2" t="n">
        <v>10</v>
      </c>
      <c r="X4" s="2" t="n">
        <v>24</v>
      </c>
      <c r="Y4" s="2" t="n">
        <v>1</v>
      </c>
      <c r="Z4" s="2" t="s">
        <v>39</v>
      </c>
      <c r="AA4" s="2" t="s">
        <v>40</v>
      </c>
      <c r="AB4" s="2" t="s">
        <v>41</v>
      </c>
      <c r="AC4" s="2" t="s">
        <v>42</v>
      </c>
      <c r="AD4" s="2" t="s">
        <v>43</v>
      </c>
      <c r="AE4" s="2" t="s">
        <v>44</v>
      </c>
    </row>
    <row r="5" customFormat="false" ht="15" hidden="false" customHeight="false" outlineLevel="0" collapsed="false">
      <c r="A5" s="2" t="s">
        <v>54</v>
      </c>
      <c r="B5" s="2" t="s">
        <v>55</v>
      </c>
      <c r="C5" s="2" t="s">
        <v>33</v>
      </c>
      <c r="D5" s="2" t="n">
        <v>20</v>
      </c>
      <c r="E5" s="2" t="n">
        <v>6</v>
      </c>
      <c r="F5" s="2" t="n">
        <v>1</v>
      </c>
      <c r="G5" s="2" t="n">
        <v>0</v>
      </c>
      <c r="H5" s="2" t="s">
        <v>34</v>
      </c>
      <c r="I5" s="2" t="n">
        <v>0</v>
      </c>
      <c r="J5" s="2" t="n">
        <v>1</v>
      </c>
      <c r="K5" s="2" t="n">
        <v>1581</v>
      </c>
      <c r="L5" s="2" t="n">
        <v>5117</v>
      </c>
      <c r="M5" s="2" t="n">
        <v>767627</v>
      </c>
      <c r="N5" s="3" t="n">
        <v>0.1588</v>
      </c>
      <c r="O5" s="2" t="n">
        <v>66</v>
      </c>
      <c r="P5" s="2" t="n">
        <v>9834</v>
      </c>
      <c r="Q5" s="5" t="s">
        <v>47</v>
      </c>
      <c r="R5" s="2" t="s">
        <v>48</v>
      </c>
      <c r="S5" s="2" t="n">
        <v>4</v>
      </c>
      <c r="T5" s="2" t="s">
        <v>49</v>
      </c>
      <c r="U5" s="2" t="s">
        <v>48</v>
      </c>
      <c r="V5" s="2" t="n">
        <v>0</v>
      </c>
      <c r="W5" s="2" t="n">
        <v>12</v>
      </c>
      <c r="X5" s="2" t="n">
        <v>22</v>
      </c>
      <c r="Y5" s="2" t="n">
        <v>1</v>
      </c>
      <c r="Z5" s="2" t="s">
        <v>39</v>
      </c>
      <c r="AA5" s="2" t="s">
        <v>40</v>
      </c>
      <c r="AB5" s="2" t="s">
        <v>41</v>
      </c>
      <c r="AC5" s="2" t="s">
        <v>42</v>
      </c>
      <c r="AD5" s="2" t="s">
        <v>43</v>
      </c>
      <c r="AE5" s="2" t="s">
        <v>44</v>
      </c>
    </row>
    <row r="6" customFormat="false" ht="15" hidden="false" customHeight="false" outlineLevel="0" collapsed="false">
      <c r="A6" s="2" t="s">
        <v>56</v>
      </c>
      <c r="B6" s="2" t="s">
        <v>57</v>
      </c>
      <c r="C6" s="2" t="s">
        <v>33</v>
      </c>
      <c r="D6" s="2" t="n">
        <v>20</v>
      </c>
      <c r="E6" s="2" t="n">
        <v>5</v>
      </c>
      <c r="F6" s="2" t="n">
        <v>1</v>
      </c>
      <c r="G6" s="2" t="n">
        <v>0</v>
      </c>
      <c r="H6" s="2" t="s">
        <v>34</v>
      </c>
      <c r="I6" s="2" t="n">
        <v>0</v>
      </c>
      <c r="J6" s="2" t="n">
        <v>1</v>
      </c>
      <c r="K6" s="2" t="n">
        <v>1581</v>
      </c>
      <c r="L6" s="2" t="n">
        <v>6197</v>
      </c>
      <c r="M6" s="2" t="n">
        <v>764254</v>
      </c>
      <c r="N6" s="3" t="n">
        <v>0.1643</v>
      </c>
      <c r="O6" s="2" t="n">
        <v>78</v>
      </c>
      <c r="P6" s="2" t="n">
        <v>8621</v>
      </c>
      <c r="Q6" s="5" t="s">
        <v>47</v>
      </c>
      <c r="R6" s="2" t="s">
        <v>48</v>
      </c>
      <c r="S6" s="2" t="n">
        <v>4</v>
      </c>
      <c r="T6" s="2" t="s">
        <v>49</v>
      </c>
      <c r="U6" s="2" t="s">
        <v>48</v>
      </c>
      <c r="V6" s="2" t="n">
        <v>0</v>
      </c>
      <c r="W6" s="2" t="n">
        <v>11</v>
      </c>
      <c r="X6" s="2" t="n">
        <v>26</v>
      </c>
      <c r="Y6" s="2" t="n">
        <v>1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E6" s="2" t="s">
        <v>44</v>
      </c>
    </row>
    <row r="7" customFormat="false" ht="15" hidden="false" customHeight="false" outlineLevel="0" collapsed="false">
      <c r="A7" s="2" t="s">
        <v>58</v>
      </c>
      <c r="B7" s="2" t="s">
        <v>59</v>
      </c>
      <c r="C7" s="2" t="s">
        <v>33</v>
      </c>
      <c r="D7" s="2" t="n">
        <v>22</v>
      </c>
      <c r="E7" s="2" t="n">
        <v>6</v>
      </c>
      <c r="F7" s="2" t="n">
        <v>1</v>
      </c>
      <c r="G7" s="2" t="n">
        <v>0</v>
      </c>
      <c r="H7" s="2" t="s">
        <v>34</v>
      </c>
      <c r="I7" s="2" t="n">
        <v>0</v>
      </c>
      <c r="J7" s="2" t="n">
        <v>1</v>
      </c>
      <c r="K7" s="2" t="n">
        <v>1613</v>
      </c>
      <c r="L7" s="2" t="n">
        <v>6275</v>
      </c>
      <c r="M7" s="2" t="n">
        <v>910594</v>
      </c>
      <c r="N7" s="3" t="n">
        <v>0.1792</v>
      </c>
      <c r="O7" s="2" t="n">
        <v>82</v>
      </c>
      <c r="P7" s="2" t="n">
        <v>8241</v>
      </c>
      <c r="Q7" s="5" t="s">
        <v>47</v>
      </c>
      <c r="R7" s="2" t="s">
        <v>48</v>
      </c>
      <c r="S7" s="2" t="n">
        <v>4</v>
      </c>
      <c r="T7" s="2" t="s">
        <v>49</v>
      </c>
      <c r="U7" s="2" t="s">
        <v>48</v>
      </c>
      <c r="V7" s="2" t="n">
        <v>0</v>
      </c>
      <c r="W7" s="2" t="n">
        <v>11</v>
      </c>
      <c r="X7" s="2" t="n">
        <v>26</v>
      </c>
      <c r="Y7" s="2" t="n">
        <v>1</v>
      </c>
      <c r="Z7" s="2" t="s">
        <v>39</v>
      </c>
      <c r="AA7" s="2" t="s">
        <v>40</v>
      </c>
      <c r="AB7" s="2" t="s">
        <v>41</v>
      </c>
      <c r="AC7" s="2" t="s">
        <v>42</v>
      </c>
      <c r="AD7" s="2" t="s">
        <v>43</v>
      </c>
      <c r="AE7" s="2" t="s">
        <v>44</v>
      </c>
    </row>
    <row r="8" customFormat="false" ht="15" hidden="false" customHeight="false" outlineLevel="0" collapsed="false">
      <c r="A8" s="2" t="s">
        <v>60</v>
      </c>
      <c r="B8" s="2" t="s">
        <v>61</v>
      </c>
      <c r="C8" s="2" t="s">
        <v>33</v>
      </c>
      <c r="D8" s="2" t="n">
        <v>21</v>
      </c>
      <c r="E8" s="2" t="n">
        <v>6</v>
      </c>
      <c r="F8" s="2" t="n">
        <v>1</v>
      </c>
      <c r="G8" s="2" t="n">
        <v>0</v>
      </c>
      <c r="H8" s="2" t="s">
        <v>34</v>
      </c>
      <c r="I8" s="2" t="n">
        <v>0</v>
      </c>
      <c r="J8" s="2" t="n">
        <v>1</v>
      </c>
      <c r="K8" s="2" t="n">
        <v>1597</v>
      </c>
      <c r="L8" s="2" t="n">
        <v>5776</v>
      </c>
      <c r="M8" s="2" t="n">
        <v>825048</v>
      </c>
      <c r="N8" s="3" t="n">
        <v>0.1656</v>
      </c>
      <c r="O8" s="2" t="n">
        <v>76</v>
      </c>
      <c r="P8" s="2" t="n">
        <v>9579</v>
      </c>
      <c r="Q8" s="5" t="s">
        <v>47</v>
      </c>
      <c r="R8" s="2" t="s">
        <v>48</v>
      </c>
      <c r="S8" s="2" t="n">
        <v>4</v>
      </c>
      <c r="T8" s="2" t="s">
        <v>49</v>
      </c>
      <c r="U8" s="2" t="s">
        <v>48</v>
      </c>
      <c r="V8" s="2" t="n">
        <v>0</v>
      </c>
      <c r="W8" s="2" t="n">
        <v>12</v>
      </c>
      <c r="X8" s="2" t="n">
        <v>25</v>
      </c>
      <c r="Y8" s="2" t="n">
        <v>1</v>
      </c>
      <c r="Z8" s="2" t="s">
        <v>39</v>
      </c>
      <c r="AA8" s="2" t="s">
        <v>40</v>
      </c>
      <c r="AB8" s="2" t="s">
        <v>41</v>
      </c>
      <c r="AC8" s="2" t="s">
        <v>42</v>
      </c>
      <c r="AD8" s="2" t="s">
        <v>43</v>
      </c>
      <c r="AE8" s="2" t="s">
        <v>44</v>
      </c>
    </row>
    <row r="9" customFormat="false" ht="15" hidden="false" customHeight="false" outlineLevel="0" collapsed="false">
      <c r="A9" s="2" t="s">
        <v>62</v>
      </c>
      <c r="B9" s="2" t="s">
        <v>63</v>
      </c>
      <c r="C9" s="2" t="s">
        <v>33</v>
      </c>
      <c r="D9" s="2" t="n">
        <v>21</v>
      </c>
      <c r="E9" s="2" t="n">
        <v>6</v>
      </c>
      <c r="F9" s="2" t="n">
        <v>1</v>
      </c>
      <c r="G9" s="2" t="n">
        <v>0</v>
      </c>
      <c r="H9" s="2" t="s">
        <v>34</v>
      </c>
      <c r="I9" s="2" t="n">
        <v>0</v>
      </c>
      <c r="J9" s="2" t="n">
        <v>1</v>
      </c>
      <c r="K9" s="2" t="n">
        <v>1557</v>
      </c>
      <c r="L9" s="2" t="n">
        <v>5750</v>
      </c>
      <c r="M9" s="2" t="n">
        <v>617947</v>
      </c>
      <c r="N9" s="3" t="n">
        <v>0.1483</v>
      </c>
      <c r="O9" s="2" t="n">
        <v>71</v>
      </c>
      <c r="P9" s="2" t="n">
        <v>8260</v>
      </c>
      <c r="Q9" s="5" t="s">
        <v>47</v>
      </c>
      <c r="R9" s="2" t="s">
        <v>48</v>
      </c>
      <c r="S9" s="2" t="n">
        <v>4</v>
      </c>
      <c r="T9" s="2" t="s">
        <v>49</v>
      </c>
      <c r="U9" s="2" t="s">
        <v>48</v>
      </c>
      <c r="V9" s="2" t="n">
        <v>0</v>
      </c>
      <c r="W9" s="2" t="n">
        <v>11</v>
      </c>
      <c r="X9" s="2" t="n">
        <v>27</v>
      </c>
      <c r="Y9" s="2" t="n">
        <v>1</v>
      </c>
      <c r="Z9" s="2" t="s">
        <v>39</v>
      </c>
      <c r="AA9" s="2" t="s">
        <v>40</v>
      </c>
      <c r="AB9" s="2" t="s">
        <v>41</v>
      </c>
      <c r="AC9" s="2" t="s">
        <v>42</v>
      </c>
      <c r="AD9" s="2" t="s">
        <v>43</v>
      </c>
      <c r="AE9" s="2" t="s">
        <v>44</v>
      </c>
    </row>
    <row r="10" customFormat="false" ht="15" hidden="false" customHeight="false" outlineLevel="0" collapsed="false">
      <c r="A10" s="2" t="s">
        <v>64</v>
      </c>
      <c r="B10" s="2" t="s">
        <v>65</v>
      </c>
      <c r="C10" s="2" t="s">
        <v>33</v>
      </c>
      <c r="D10" s="2" t="n">
        <v>20</v>
      </c>
      <c r="E10" s="2" t="n">
        <v>6</v>
      </c>
      <c r="F10" s="2" t="n">
        <v>1</v>
      </c>
      <c r="G10" s="2" t="n">
        <v>0</v>
      </c>
      <c r="H10" s="2" t="s">
        <v>34</v>
      </c>
      <c r="I10" s="2" t="n">
        <v>0</v>
      </c>
      <c r="J10" s="2" t="n">
        <v>1</v>
      </c>
      <c r="K10" s="2" t="n">
        <v>1589</v>
      </c>
      <c r="L10" s="2" t="n">
        <v>5768</v>
      </c>
      <c r="M10" s="2" t="n">
        <v>783697</v>
      </c>
      <c r="N10" s="3" t="n">
        <v>0.1638</v>
      </c>
      <c r="O10" s="2" t="n">
        <v>73</v>
      </c>
      <c r="P10" s="2" t="n">
        <v>8394</v>
      </c>
      <c r="Q10" s="5" t="s">
        <v>47</v>
      </c>
      <c r="R10" s="2" t="s">
        <v>48</v>
      </c>
      <c r="S10" s="2" t="n">
        <v>4</v>
      </c>
      <c r="T10" s="2" t="s">
        <v>49</v>
      </c>
      <c r="U10" s="2" t="s">
        <v>48</v>
      </c>
      <c r="V10" s="2" t="n">
        <v>0</v>
      </c>
      <c r="W10" s="2" t="n">
        <v>12</v>
      </c>
      <c r="X10" s="2" t="n">
        <v>26</v>
      </c>
      <c r="Y10" s="2" t="n">
        <v>1</v>
      </c>
      <c r="Z10" s="2" t="s">
        <v>39</v>
      </c>
      <c r="AA10" s="2" t="s">
        <v>40</v>
      </c>
      <c r="AB10" s="2" t="s">
        <v>41</v>
      </c>
      <c r="AC10" s="2" t="s">
        <v>42</v>
      </c>
      <c r="AD10" s="2" t="s">
        <v>43</v>
      </c>
      <c r="AE10" s="2" t="s">
        <v>44</v>
      </c>
    </row>
    <row r="11" customFormat="false" ht="15" hidden="false" customHeight="false" outlineLevel="0" collapsed="false">
      <c r="A11" s="2" t="s">
        <v>66</v>
      </c>
      <c r="B11" s="2" t="s">
        <v>67</v>
      </c>
      <c r="C11" s="2" t="s">
        <v>33</v>
      </c>
      <c r="D11" s="2" t="n">
        <v>22</v>
      </c>
      <c r="E11" s="2" t="n">
        <v>7</v>
      </c>
      <c r="F11" s="2" t="n">
        <v>2</v>
      </c>
      <c r="G11" s="2" t="n">
        <v>0</v>
      </c>
      <c r="H11" s="2" t="s">
        <v>34</v>
      </c>
      <c r="I11" s="2" t="n">
        <v>0</v>
      </c>
      <c r="J11" s="2" t="n">
        <v>1</v>
      </c>
      <c r="K11" s="2" t="n">
        <v>1613</v>
      </c>
      <c r="L11" s="2" t="n">
        <v>6472</v>
      </c>
      <c r="M11" s="2" t="n">
        <v>953288</v>
      </c>
      <c r="N11" s="3" t="n">
        <v>0.1963</v>
      </c>
      <c r="O11" s="2" t="n">
        <v>83</v>
      </c>
      <c r="P11" s="2" t="n">
        <v>8472</v>
      </c>
      <c r="Q11" s="5" t="s">
        <v>47</v>
      </c>
      <c r="R11" s="2" t="s">
        <v>48</v>
      </c>
      <c r="S11" s="2" t="n">
        <v>4</v>
      </c>
      <c r="T11" s="2" t="s">
        <v>49</v>
      </c>
      <c r="U11" s="2" t="s">
        <v>48</v>
      </c>
      <c r="V11" s="2" t="n">
        <v>0</v>
      </c>
      <c r="W11" s="2" t="n">
        <v>12</v>
      </c>
      <c r="X11" s="2" t="n">
        <v>26</v>
      </c>
      <c r="Y11" s="2" t="n">
        <v>1</v>
      </c>
      <c r="Z11" s="2" t="s">
        <v>39</v>
      </c>
      <c r="AA11" s="2" t="s">
        <v>40</v>
      </c>
      <c r="AB11" s="2" t="s">
        <v>41</v>
      </c>
      <c r="AC11" s="2" t="s">
        <v>42</v>
      </c>
      <c r="AD11" s="2" t="s">
        <v>43</v>
      </c>
      <c r="AE11" s="2" t="s">
        <v>44</v>
      </c>
    </row>
    <row r="12" customFormat="false" ht="15" hidden="false" customHeight="false" outlineLevel="0" collapsed="false">
      <c r="A12" s="2" t="s">
        <v>68</v>
      </c>
      <c r="B12" s="2" t="s">
        <v>69</v>
      </c>
      <c r="C12" s="2" t="s">
        <v>33</v>
      </c>
      <c r="D12" s="2" t="n">
        <v>25</v>
      </c>
      <c r="E12" s="2" t="n">
        <v>8</v>
      </c>
      <c r="F12" s="2" t="n">
        <v>1</v>
      </c>
      <c r="G12" s="2" t="n">
        <v>0</v>
      </c>
      <c r="H12" s="2" t="s">
        <v>34</v>
      </c>
      <c r="I12" s="2" t="n">
        <v>0</v>
      </c>
      <c r="J12" s="2" t="n">
        <v>1</v>
      </c>
      <c r="K12" s="2" t="n">
        <v>1621</v>
      </c>
      <c r="L12" s="2" t="n">
        <v>6127</v>
      </c>
      <c r="M12" s="2" t="n">
        <v>1001453</v>
      </c>
      <c r="N12" s="3" t="n">
        <v>0.1951</v>
      </c>
      <c r="O12" s="2" t="n">
        <v>80</v>
      </c>
      <c r="P12" s="2" t="n">
        <v>8508</v>
      </c>
      <c r="Q12" s="4" t="s">
        <v>35</v>
      </c>
      <c r="R12" s="2" t="s">
        <v>36</v>
      </c>
      <c r="S12" s="2" t="n">
        <v>5</v>
      </c>
      <c r="T12" s="2" t="s">
        <v>37</v>
      </c>
      <c r="U12" s="2" t="s">
        <v>38</v>
      </c>
      <c r="V12" s="2" t="n">
        <v>1</v>
      </c>
      <c r="W12" s="2" t="n">
        <v>13</v>
      </c>
      <c r="X12" s="2" t="n">
        <v>27</v>
      </c>
      <c r="Y12" s="2" t="n">
        <v>1</v>
      </c>
      <c r="Z12" s="2" t="s">
        <v>39</v>
      </c>
      <c r="AA12" s="2" t="s">
        <v>40</v>
      </c>
      <c r="AB12" s="2" t="s">
        <v>41</v>
      </c>
      <c r="AC12" s="2" t="s">
        <v>42</v>
      </c>
      <c r="AD12" s="2" t="s">
        <v>43</v>
      </c>
      <c r="AE12" s="2" t="s">
        <v>44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2" t="s">
        <v>33</v>
      </c>
      <c r="D13" s="2" t="n">
        <v>21</v>
      </c>
      <c r="E13" s="2" t="n">
        <v>6</v>
      </c>
      <c r="F13" s="2" t="n">
        <v>1</v>
      </c>
      <c r="G13" s="2" t="n">
        <v>0</v>
      </c>
      <c r="H13" s="2" t="s">
        <v>34</v>
      </c>
      <c r="I13" s="2" t="n">
        <v>0</v>
      </c>
      <c r="J13" s="2" t="n">
        <v>1</v>
      </c>
      <c r="K13" s="2" t="n">
        <v>1605</v>
      </c>
      <c r="L13" s="2" t="n">
        <v>5861</v>
      </c>
      <c r="M13" s="2" t="n">
        <v>892240</v>
      </c>
      <c r="N13" s="3" t="n">
        <v>0.1752</v>
      </c>
      <c r="O13" s="2" t="n">
        <v>76</v>
      </c>
      <c r="P13" s="2" t="n">
        <v>8307</v>
      </c>
      <c r="Q13" s="5" t="s">
        <v>47</v>
      </c>
      <c r="R13" s="2" t="s">
        <v>48</v>
      </c>
      <c r="S13" s="2" t="n">
        <v>4</v>
      </c>
      <c r="T13" s="2" t="s">
        <v>49</v>
      </c>
      <c r="U13" s="2" t="s">
        <v>48</v>
      </c>
      <c r="V13" s="2" t="n">
        <v>0</v>
      </c>
      <c r="W13" s="2" t="n">
        <v>12</v>
      </c>
      <c r="X13" s="2" t="n">
        <v>26</v>
      </c>
      <c r="Y13" s="2" t="n">
        <v>1</v>
      </c>
      <c r="Z13" s="2" t="s">
        <v>39</v>
      </c>
      <c r="AA13" s="2" t="s">
        <v>40</v>
      </c>
      <c r="AB13" s="2" t="s">
        <v>41</v>
      </c>
      <c r="AC13" s="2" t="s">
        <v>42</v>
      </c>
      <c r="AD13" s="2" t="s">
        <v>43</v>
      </c>
      <c r="AE13" s="2" t="s">
        <v>44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33</v>
      </c>
      <c r="D14" s="2" t="n">
        <v>17</v>
      </c>
      <c r="E14" s="2" t="n">
        <v>6</v>
      </c>
      <c r="F14" s="2" t="n">
        <v>1</v>
      </c>
      <c r="G14" s="2" t="n">
        <v>0</v>
      </c>
      <c r="H14" s="2" t="s">
        <v>34</v>
      </c>
      <c r="I14" s="2" t="n">
        <v>0</v>
      </c>
      <c r="J14" s="2" t="n">
        <v>1</v>
      </c>
      <c r="K14" s="2" t="n">
        <v>1549</v>
      </c>
      <c r="L14" s="2" t="n">
        <v>4228</v>
      </c>
      <c r="M14" s="2" t="n">
        <v>572123</v>
      </c>
      <c r="N14" s="3" t="n">
        <v>0.1292</v>
      </c>
      <c r="O14" s="2" t="n">
        <v>57</v>
      </c>
      <c r="P14" s="2" t="n">
        <v>8504</v>
      </c>
      <c r="Q14" s="6" t="s">
        <v>52</v>
      </c>
      <c r="R14" s="2" t="s">
        <v>53</v>
      </c>
      <c r="S14" s="2" t="n">
        <v>3</v>
      </c>
      <c r="T14" s="2" t="s">
        <v>74</v>
      </c>
      <c r="U14" s="2" t="s">
        <v>48</v>
      </c>
      <c r="V14" s="2" t="n">
        <v>0</v>
      </c>
      <c r="W14" s="2" t="n">
        <v>5</v>
      </c>
      <c r="X14" s="2" t="n">
        <v>15</v>
      </c>
      <c r="Y14" s="2" t="n">
        <v>1</v>
      </c>
      <c r="Z14" s="2" t="s">
        <v>39</v>
      </c>
      <c r="AA14" s="2" t="s">
        <v>40</v>
      </c>
      <c r="AB14" s="2" t="s">
        <v>41</v>
      </c>
      <c r="AC14" s="2" t="s">
        <v>42</v>
      </c>
      <c r="AD14" s="2" t="s">
        <v>43</v>
      </c>
      <c r="AE14" s="2" t="s">
        <v>44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33</v>
      </c>
      <c r="D15" s="2" t="n">
        <v>18</v>
      </c>
      <c r="E15" s="2" t="n">
        <v>7</v>
      </c>
      <c r="F15" s="2" t="n">
        <v>1</v>
      </c>
      <c r="G15" s="2" t="n">
        <v>0</v>
      </c>
      <c r="H15" s="2" t="s">
        <v>34</v>
      </c>
      <c r="I15" s="2" t="n">
        <v>0</v>
      </c>
      <c r="J15" s="2" t="n">
        <v>1</v>
      </c>
      <c r="K15" s="2" t="n">
        <v>1581</v>
      </c>
      <c r="L15" s="2" t="n">
        <v>4198</v>
      </c>
      <c r="M15" s="2" t="n">
        <v>696626</v>
      </c>
      <c r="N15" s="3" t="n">
        <v>0.1384</v>
      </c>
      <c r="O15" s="2" t="n">
        <v>58</v>
      </c>
      <c r="P15" s="2" t="n">
        <v>8275</v>
      </c>
      <c r="Q15" s="4" t="s">
        <v>35</v>
      </c>
      <c r="R15" s="2" t="s">
        <v>77</v>
      </c>
      <c r="S15" s="2" t="n">
        <v>4</v>
      </c>
      <c r="T15" s="2" t="s">
        <v>78</v>
      </c>
      <c r="U15" s="2" t="s">
        <v>38</v>
      </c>
      <c r="V15" s="2" t="n">
        <v>1</v>
      </c>
      <c r="W15" s="2" t="n">
        <v>6</v>
      </c>
      <c r="X15" s="2" t="n">
        <v>12</v>
      </c>
      <c r="Y15" s="2" t="n">
        <v>1</v>
      </c>
      <c r="Z15" s="2" t="s">
        <v>39</v>
      </c>
      <c r="AA15" s="2" t="s">
        <v>40</v>
      </c>
      <c r="AB15" s="2" t="s">
        <v>41</v>
      </c>
      <c r="AC15" s="2" t="s">
        <v>42</v>
      </c>
      <c r="AD15" s="2" t="s">
        <v>43</v>
      </c>
      <c r="AE15" s="2" t="s">
        <v>44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33</v>
      </c>
      <c r="D16" s="2" t="n">
        <v>19</v>
      </c>
      <c r="E16" s="2" t="n">
        <v>5</v>
      </c>
      <c r="F16" s="2" t="n">
        <v>1</v>
      </c>
      <c r="G16" s="2" t="n">
        <v>0</v>
      </c>
      <c r="H16" s="2" t="s">
        <v>34</v>
      </c>
      <c r="I16" s="2" t="n">
        <v>0</v>
      </c>
      <c r="J16" s="2" t="n">
        <v>1</v>
      </c>
      <c r="K16" s="2" t="n">
        <v>1581</v>
      </c>
      <c r="L16" s="2" t="n">
        <v>5192</v>
      </c>
      <c r="M16" s="2" t="n">
        <v>748271</v>
      </c>
      <c r="N16" s="3" t="n">
        <v>0.1543</v>
      </c>
      <c r="O16" s="2" t="n">
        <v>68</v>
      </c>
      <c r="P16" s="2" t="n">
        <v>9354</v>
      </c>
      <c r="Q16" s="5" t="s">
        <v>47</v>
      </c>
      <c r="R16" s="2" t="s">
        <v>48</v>
      </c>
      <c r="S16" s="2" t="n">
        <v>4</v>
      </c>
      <c r="T16" s="2" t="s">
        <v>49</v>
      </c>
      <c r="U16" s="2" t="s">
        <v>48</v>
      </c>
      <c r="V16" s="2" t="n">
        <v>0</v>
      </c>
      <c r="W16" s="2" t="n">
        <v>12</v>
      </c>
      <c r="X16" s="2" t="n">
        <v>26</v>
      </c>
      <c r="Y16" s="2" t="n">
        <v>1</v>
      </c>
      <c r="Z16" s="2" t="s">
        <v>39</v>
      </c>
      <c r="AA16" s="2" t="s">
        <v>40</v>
      </c>
      <c r="AB16" s="2" t="s">
        <v>41</v>
      </c>
      <c r="AC16" s="2" t="s">
        <v>42</v>
      </c>
      <c r="AD16" s="2" t="s">
        <v>43</v>
      </c>
      <c r="AE16" s="2" t="s">
        <v>44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33</v>
      </c>
      <c r="D17" s="2" t="n">
        <v>22</v>
      </c>
      <c r="E17" s="2" t="n">
        <v>5</v>
      </c>
      <c r="F17" s="2" t="n">
        <v>1</v>
      </c>
      <c r="G17" s="2" t="n">
        <v>0</v>
      </c>
      <c r="H17" s="2" t="s">
        <v>34</v>
      </c>
      <c r="I17" s="2" t="n">
        <v>0</v>
      </c>
      <c r="J17" s="2" t="n">
        <v>1</v>
      </c>
      <c r="K17" s="2" t="n">
        <v>1589</v>
      </c>
      <c r="L17" s="2" t="n">
        <v>6151</v>
      </c>
      <c r="M17" s="2" t="n">
        <v>784318</v>
      </c>
      <c r="N17" s="3" t="n">
        <v>0.1624</v>
      </c>
      <c r="O17" s="2" t="n">
        <v>78</v>
      </c>
      <c r="P17" s="2" t="n">
        <v>8534</v>
      </c>
      <c r="Q17" s="5" t="s">
        <v>47</v>
      </c>
      <c r="R17" s="2" t="s">
        <v>48</v>
      </c>
      <c r="S17" s="2" t="n">
        <v>4</v>
      </c>
      <c r="T17" s="2" t="s">
        <v>49</v>
      </c>
      <c r="U17" s="2" t="s">
        <v>48</v>
      </c>
      <c r="V17" s="2" t="n">
        <v>0</v>
      </c>
      <c r="W17" s="2" t="n">
        <v>12</v>
      </c>
      <c r="X17" s="2" t="n">
        <v>26</v>
      </c>
      <c r="Y17" s="2" t="n">
        <v>1</v>
      </c>
      <c r="Z17" s="2" t="s">
        <v>39</v>
      </c>
      <c r="AA17" s="2" t="s">
        <v>40</v>
      </c>
      <c r="AB17" s="2" t="s">
        <v>41</v>
      </c>
      <c r="AC17" s="2" t="s">
        <v>42</v>
      </c>
      <c r="AD17" s="2" t="s">
        <v>43</v>
      </c>
      <c r="AE17" s="2" t="s">
        <v>44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33</v>
      </c>
      <c r="D18" s="2" t="n">
        <v>20</v>
      </c>
      <c r="E18" s="2" t="n">
        <v>4</v>
      </c>
      <c r="F18" s="2" t="n">
        <v>1</v>
      </c>
      <c r="G18" s="2" t="n">
        <v>0</v>
      </c>
      <c r="H18" s="2" t="s">
        <v>34</v>
      </c>
      <c r="I18" s="2" t="n">
        <v>0</v>
      </c>
      <c r="J18" s="2" t="n">
        <v>1</v>
      </c>
      <c r="K18" s="2" t="n">
        <v>1565</v>
      </c>
      <c r="L18" s="2" t="n">
        <v>5921</v>
      </c>
      <c r="M18" s="2" t="n">
        <v>697969</v>
      </c>
      <c r="N18" s="3" t="n">
        <v>0.1581</v>
      </c>
      <c r="O18" s="2" t="n">
        <v>75</v>
      </c>
      <c r="P18" s="2" t="n">
        <v>9658</v>
      </c>
      <c r="Q18" s="4" t="s">
        <v>35</v>
      </c>
      <c r="R18" s="2" t="s">
        <v>36</v>
      </c>
      <c r="S18" s="2" t="n">
        <v>5</v>
      </c>
      <c r="T18" s="2" t="s">
        <v>37</v>
      </c>
      <c r="U18" s="2" t="s">
        <v>38</v>
      </c>
      <c r="V18" s="2" t="n">
        <v>1</v>
      </c>
      <c r="W18" s="2" t="n">
        <v>12</v>
      </c>
      <c r="X18" s="2" t="n">
        <v>27</v>
      </c>
      <c r="Y18" s="2" t="n">
        <v>1</v>
      </c>
      <c r="Z18" s="2" t="s">
        <v>39</v>
      </c>
      <c r="AA18" s="2" t="s">
        <v>40</v>
      </c>
      <c r="AB18" s="2" t="s">
        <v>41</v>
      </c>
      <c r="AC18" s="2" t="s">
        <v>42</v>
      </c>
      <c r="AD18" s="2" t="s">
        <v>43</v>
      </c>
      <c r="AE18" s="2" t="s">
        <v>44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33</v>
      </c>
      <c r="D19" s="2" t="n">
        <v>21</v>
      </c>
      <c r="E19" s="2" t="n">
        <v>6</v>
      </c>
      <c r="F19" s="2" t="n">
        <v>1</v>
      </c>
      <c r="G19" s="2" t="n">
        <v>0</v>
      </c>
      <c r="H19" s="2" t="s">
        <v>34</v>
      </c>
      <c r="I19" s="2" t="n">
        <v>0</v>
      </c>
      <c r="J19" s="2" t="n">
        <v>1</v>
      </c>
      <c r="K19" s="2" t="n">
        <v>1605</v>
      </c>
      <c r="L19" s="2" t="n">
        <v>5893</v>
      </c>
      <c r="M19" s="2" t="n">
        <v>890036</v>
      </c>
      <c r="N19" s="3" t="n">
        <v>0.1766</v>
      </c>
      <c r="O19" s="2" t="n">
        <v>78</v>
      </c>
      <c r="P19" s="2" t="n">
        <v>9431</v>
      </c>
      <c r="Q19" s="5" t="s">
        <v>47</v>
      </c>
      <c r="R19" s="2" t="s">
        <v>48</v>
      </c>
      <c r="S19" s="2" t="n">
        <v>4</v>
      </c>
      <c r="T19" s="2" t="s">
        <v>49</v>
      </c>
      <c r="U19" s="2" t="s">
        <v>48</v>
      </c>
      <c r="V19" s="2" t="n">
        <v>0</v>
      </c>
      <c r="W19" s="2" t="n">
        <v>12</v>
      </c>
      <c r="X19" s="2" t="n">
        <v>26</v>
      </c>
      <c r="Y19" s="2" t="n">
        <v>1</v>
      </c>
      <c r="Z19" s="2" t="s">
        <v>39</v>
      </c>
      <c r="AA19" s="2" t="s">
        <v>40</v>
      </c>
      <c r="AB19" s="2" t="s">
        <v>41</v>
      </c>
      <c r="AC19" s="2" t="s">
        <v>42</v>
      </c>
      <c r="AD19" s="2" t="s">
        <v>43</v>
      </c>
      <c r="AE19" s="2" t="s">
        <v>44</v>
      </c>
    </row>
    <row r="20" customFormat="false" ht="15" hidden="false" customHeight="false" outlineLevel="0" collapsed="false">
      <c r="A20" s="2" t="s">
        <v>87</v>
      </c>
      <c r="B20" s="2" t="s">
        <v>88</v>
      </c>
      <c r="C20" s="2" t="s">
        <v>33</v>
      </c>
      <c r="D20" s="2" t="n">
        <v>17</v>
      </c>
      <c r="E20" s="2" t="n">
        <v>4</v>
      </c>
      <c r="F20" s="2" t="n">
        <v>1</v>
      </c>
      <c r="G20" s="2" t="n">
        <v>0</v>
      </c>
      <c r="H20" s="2" t="s">
        <v>34</v>
      </c>
      <c r="I20" s="2" t="n">
        <v>0</v>
      </c>
      <c r="J20" s="2" t="n">
        <v>1</v>
      </c>
      <c r="K20" s="2" t="n">
        <v>1565</v>
      </c>
      <c r="L20" s="2" t="n">
        <v>4737</v>
      </c>
      <c r="M20" s="2" t="n">
        <v>655600</v>
      </c>
      <c r="N20" s="3" t="n">
        <v>0.143</v>
      </c>
      <c r="O20" s="2" t="n">
        <v>61</v>
      </c>
      <c r="P20" s="2" t="n">
        <v>11915</v>
      </c>
      <c r="Q20" s="5" t="s">
        <v>47</v>
      </c>
      <c r="R20" s="2" t="s">
        <v>48</v>
      </c>
      <c r="S20" s="2" t="n">
        <v>4</v>
      </c>
      <c r="T20" s="2" t="s">
        <v>49</v>
      </c>
      <c r="U20" s="2" t="s">
        <v>48</v>
      </c>
      <c r="V20" s="2" t="n">
        <v>0</v>
      </c>
      <c r="W20" s="2" t="n">
        <v>11</v>
      </c>
      <c r="X20" s="2" t="n">
        <v>26</v>
      </c>
      <c r="Y20" s="2" t="n">
        <v>1</v>
      </c>
      <c r="Z20" s="2" t="s">
        <v>39</v>
      </c>
      <c r="AA20" s="2" t="s">
        <v>40</v>
      </c>
      <c r="AB20" s="2" t="s">
        <v>41</v>
      </c>
      <c r="AC20" s="2" t="s">
        <v>42</v>
      </c>
      <c r="AD20" s="2" t="s">
        <v>43</v>
      </c>
      <c r="AE20" s="2" t="s">
        <v>44</v>
      </c>
    </row>
    <row r="21" customFormat="false" ht="15" hidden="false" customHeight="false" outlineLevel="0" collapsed="false">
      <c r="A21" s="2" t="s">
        <v>89</v>
      </c>
      <c r="B21" s="2" t="s">
        <v>90</v>
      </c>
      <c r="C21" s="2" t="s">
        <v>33</v>
      </c>
      <c r="D21" s="2" t="n">
        <v>22</v>
      </c>
      <c r="E21" s="2" t="n">
        <v>6</v>
      </c>
      <c r="F21" s="2" t="n">
        <v>1</v>
      </c>
      <c r="G21" s="2" t="n">
        <v>0</v>
      </c>
      <c r="H21" s="2" t="s">
        <v>34</v>
      </c>
      <c r="I21" s="2" t="n">
        <v>0</v>
      </c>
      <c r="J21" s="2" t="n">
        <v>1</v>
      </c>
      <c r="K21" s="2" t="n">
        <v>1597</v>
      </c>
      <c r="L21" s="2" t="n">
        <v>6018</v>
      </c>
      <c r="M21" s="2" t="n">
        <v>826098</v>
      </c>
      <c r="N21" s="3" t="n">
        <v>0.1667</v>
      </c>
      <c r="O21" s="2" t="n">
        <v>78</v>
      </c>
      <c r="P21" s="2" t="n">
        <v>9657</v>
      </c>
      <c r="Q21" s="5" t="s">
        <v>47</v>
      </c>
      <c r="R21" s="2" t="s">
        <v>48</v>
      </c>
      <c r="S21" s="2" t="n">
        <v>4</v>
      </c>
      <c r="T21" s="2" t="s">
        <v>49</v>
      </c>
      <c r="U21" s="2" t="s">
        <v>48</v>
      </c>
      <c r="V21" s="2" t="n">
        <v>0</v>
      </c>
      <c r="W21" s="2" t="n">
        <v>12</v>
      </c>
      <c r="X21" s="2" t="n">
        <v>25</v>
      </c>
      <c r="Y21" s="2" t="n">
        <v>1</v>
      </c>
      <c r="Z21" s="2" t="s">
        <v>39</v>
      </c>
      <c r="AA21" s="2" t="s">
        <v>40</v>
      </c>
      <c r="AB21" s="2" t="s">
        <v>41</v>
      </c>
      <c r="AC21" s="2" t="s">
        <v>42</v>
      </c>
      <c r="AD21" s="2" t="s">
        <v>43</v>
      </c>
      <c r="AE21" s="2" t="s">
        <v>44</v>
      </c>
    </row>
    <row r="22" customFormat="false" ht="15" hidden="false" customHeight="false" outlineLevel="0" collapsed="false">
      <c r="A22" s="2" t="s">
        <v>91</v>
      </c>
      <c r="B22" s="2" t="s">
        <v>92</v>
      </c>
      <c r="C22" s="2" t="s">
        <v>33</v>
      </c>
      <c r="D22" s="2" t="n">
        <v>19</v>
      </c>
      <c r="E22" s="2" t="n">
        <v>5</v>
      </c>
      <c r="F22" s="2" t="n">
        <v>1</v>
      </c>
      <c r="G22" s="2" t="n">
        <v>0</v>
      </c>
      <c r="H22" s="2" t="s">
        <v>34</v>
      </c>
      <c r="I22" s="2" t="n">
        <v>0</v>
      </c>
      <c r="J22" s="2" t="n">
        <v>1</v>
      </c>
      <c r="K22" s="2" t="n">
        <v>1525</v>
      </c>
      <c r="L22" s="2" t="n">
        <v>5575</v>
      </c>
      <c r="M22" s="2" t="n">
        <v>439260</v>
      </c>
      <c r="N22" s="3" t="n">
        <v>0.1235</v>
      </c>
      <c r="O22" s="2" t="n">
        <v>68</v>
      </c>
      <c r="P22" s="2" t="n">
        <v>9368</v>
      </c>
      <c r="Q22" s="5" t="s">
        <v>47</v>
      </c>
      <c r="R22" s="2" t="s">
        <v>48</v>
      </c>
      <c r="S22" s="2" t="n">
        <v>4</v>
      </c>
      <c r="T22" s="2" t="s">
        <v>49</v>
      </c>
      <c r="U22" s="2" t="s">
        <v>48</v>
      </c>
      <c r="V22" s="2" t="n">
        <v>0</v>
      </c>
      <c r="W22" s="2" t="n">
        <v>11</v>
      </c>
      <c r="X22" s="2" t="n">
        <v>21</v>
      </c>
      <c r="Y22" s="2" t="n">
        <v>1</v>
      </c>
      <c r="Z22" s="2" t="s">
        <v>39</v>
      </c>
      <c r="AA22" s="2" t="s">
        <v>40</v>
      </c>
      <c r="AB22" s="2" t="s">
        <v>41</v>
      </c>
      <c r="AC22" s="2" t="s">
        <v>42</v>
      </c>
      <c r="AD22" s="2" t="s">
        <v>43</v>
      </c>
      <c r="AE22" s="2" t="s">
        <v>44</v>
      </c>
    </row>
    <row r="23" customFormat="false" ht="15" hidden="false" customHeight="false" outlineLevel="0" collapsed="false">
      <c r="A23" s="2" t="s">
        <v>93</v>
      </c>
      <c r="B23" s="2" t="s">
        <v>94</v>
      </c>
      <c r="C23" s="2" t="s">
        <v>33</v>
      </c>
      <c r="D23" s="2" t="n">
        <v>20</v>
      </c>
      <c r="E23" s="2" t="n">
        <v>6</v>
      </c>
      <c r="F23" s="2" t="n">
        <v>1</v>
      </c>
      <c r="G23" s="2" t="n">
        <v>0</v>
      </c>
      <c r="H23" s="2" t="s">
        <v>34</v>
      </c>
      <c r="I23" s="2" t="n">
        <v>0</v>
      </c>
      <c r="J23" s="2" t="n">
        <v>1</v>
      </c>
      <c r="K23" s="2" t="n">
        <v>1589</v>
      </c>
      <c r="L23" s="2" t="n">
        <v>5162</v>
      </c>
      <c r="M23" s="2" t="n">
        <v>754558</v>
      </c>
      <c r="N23" s="3" t="n">
        <v>0.1506</v>
      </c>
      <c r="O23" s="2" t="n">
        <v>67</v>
      </c>
      <c r="P23" s="2" t="n">
        <v>9192</v>
      </c>
      <c r="Q23" s="5" t="s">
        <v>47</v>
      </c>
      <c r="R23" s="2" t="s">
        <v>48</v>
      </c>
      <c r="S23" s="2" t="n">
        <v>4</v>
      </c>
      <c r="T23" s="2" t="s">
        <v>49</v>
      </c>
      <c r="U23" s="2" t="s">
        <v>48</v>
      </c>
      <c r="V23" s="2" t="n">
        <v>0</v>
      </c>
      <c r="W23" s="2" t="n">
        <v>11</v>
      </c>
      <c r="X23" s="2" t="n">
        <v>22</v>
      </c>
      <c r="Y23" s="2" t="n">
        <v>1</v>
      </c>
      <c r="Z23" s="2" t="s">
        <v>39</v>
      </c>
      <c r="AA23" s="2" t="s">
        <v>40</v>
      </c>
      <c r="AB23" s="2" t="s">
        <v>41</v>
      </c>
      <c r="AC23" s="2" t="s">
        <v>42</v>
      </c>
      <c r="AD23" s="2" t="s">
        <v>43</v>
      </c>
      <c r="AE23" s="2" t="s">
        <v>44</v>
      </c>
    </row>
    <row r="24" customFormat="false" ht="15" hidden="false" customHeight="false" outlineLevel="0" collapsed="false">
      <c r="A24" s="2" t="s">
        <v>95</v>
      </c>
      <c r="B24" s="2" t="s">
        <v>96</v>
      </c>
      <c r="C24" s="2" t="s">
        <v>33</v>
      </c>
      <c r="D24" s="2" t="n">
        <v>25</v>
      </c>
      <c r="E24" s="2" t="n">
        <v>7</v>
      </c>
      <c r="F24" s="2" t="n">
        <v>2</v>
      </c>
      <c r="G24" s="2" t="n">
        <v>0</v>
      </c>
      <c r="H24" s="2" t="s">
        <v>34</v>
      </c>
      <c r="I24" s="2" t="n">
        <v>0</v>
      </c>
      <c r="J24" s="2" t="n">
        <v>1</v>
      </c>
      <c r="K24" s="2" t="n">
        <v>1637</v>
      </c>
      <c r="L24" s="2" t="n">
        <v>6301</v>
      </c>
      <c r="M24" s="2" t="n">
        <v>1056690</v>
      </c>
      <c r="N24" s="3" t="n">
        <v>0.1947</v>
      </c>
      <c r="O24" s="2" t="n">
        <v>85</v>
      </c>
      <c r="P24" s="2" t="n">
        <v>13686</v>
      </c>
      <c r="Q24" s="5" t="s">
        <v>47</v>
      </c>
      <c r="R24" s="2" t="s">
        <v>48</v>
      </c>
      <c r="S24" s="2" t="n">
        <v>4</v>
      </c>
      <c r="T24" s="2" t="s">
        <v>49</v>
      </c>
      <c r="U24" s="2" t="s">
        <v>48</v>
      </c>
      <c r="V24" s="2" t="n">
        <v>0</v>
      </c>
      <c r="W24" s="2" t="n">
        <v>12</v>
      </c>
      <c r="X24" s="2" t="n">
        <v>26</v>
      </c>
      <c r="Y24" s="2" t="n">
        <v>1</v>
      </c>
      <c r="Z24" s="2" t="s">
        <v>39</v>
      </c>
      <c r="AA24" s="2" t="s">
        <v>40</v>
      </c>
      <c r="AB24" s="2" t="s">
        <v>41</v>
      </c>
      <c r="AC24" s="2" t="s">
        <v>42</v>
      </c>
      <c r="AD24" s="2" t="s">
        <v>43</v>
      </c>
      <c r="AE24" s="2" t="s">
        <v>44</v>
      </c>
    </row>
    <row r="25" customFormat="false" ht="15" hidden="false" customHeight="false" outlineLevel="0" collapsed="false">
      <c r="A25" s="2" t="s">
        <v>97</v>
      </c>
      <c r="B25" s="2" t="s">
        <v>98</v>
      </c>
      <c r="C25" s="2" t="s">
        <v>33</v>
      </c>
      <c r="D25" s="2" t="n">
        <v>21</v>
      </c>
      <c r="E25" s="2" t="n">
        <v>8</v>
      </c>
      <c r="F25" s="2" t="n">
        <v>1</v>
      </c>
      <c r="G25" s="2" t="n">
        <v>0</v>
      </c>
      <c r="H25" s="2" t="s">
        <v>34</v>
      </c>
      <c r="I25" s="2" t="n">
        <v>0</v>
      </c>
      <c r="J25" s="2" t="n">
        <v>1</v>
      </c>
      <c r="K25" s="2" t="n">
        <v>1597</v>
      </c>
      <c r="L25" s="2" t="n">
        <v>4833</v>
      </c>
      <c r="M25" s="2" t="n">
        <v>789287</v>
      </c>
      <c r="N25" s="3" t="n">
        <v>0.1512</v>
      </c>
      <c r="O25" s="2" t="n">
        <v>66</v>
      </c>
      <c r="P25" s="2" t="n">
        <v>11213</v>
      </c>
      <c r="Q25" s="6" t="s">
        <v>52</v>
      </c>
      <c r="R25" s="2" t="s">
        <v>53</v>
      </c>
      <c r="S25" s="2" t="n">
        <v>3</v>
      </c>
      <c r="T25" s="2" t="s">
        <v>74</v>
      </c>
      <c r="U25" s="2" t="s">
        <v>48</v>
      </c>
      <c r="V25" s="2" t="n">
        <v>0</v>
      </c>
      <c r="W25" s="2" t="n">
        <v>5</v>
      </c>
      <c r="X25" s="2" t="n">
        <v>15</v>
      </c>
      <c r="Y25" s="2" t="n">
        <v>1</v>
      </c>
      <c r="Z25" s="2" t="s">
        <v>39</v>
      </c>
      <c r="AA25" s="2" t="s">
        <v>40</v>
      </c>
      <c r="AB25" s="2" t="s">
        <v>41</v>
      </c>
      <c r="AC25" s="2" t="s">
        <v>42</v>
      </c>
      <c r="AD25" s="2" t="s">
        <v>43</v>
      </c>
      <c r="AE25" s="2" t="s">
        <v>44</v>
      </c>
    </row>
    <row r="26" customFormat="false" ht="15" hidden="false" customHeight="false" outlineLevel="0" collapsed="false">
      <c r="A26" s="2" t="s">
        <v>99</v>
      </c>
      <c r="B26" s="2" t="s">
        <v>100</v>
      </c>
      <c r="C26" s="2" t="s">
        <v>33</v>
      </c>
      <c r="D26" s="2" t="n">
        <v>23</v>
      </c>
      <c r="E26" s="2" t="n">
        <v>6</v>
      </c>
      <c r="F26" s="2" t="n">
        <v>1</v>
      </c>
      <c r="G26" s="2" t="n">
        <v>0</v>
      </c>
      <c r="H26" s="2" t="s">
        <v>34</v>
      </c>
      <c r="I26" s="2" t="n">
        <v>0</v>
      </c>
      <c r="J26" s="2" t="n">
        <v>1</v>
      </c>
      <c r="K26" s="2" t="n">
        <v>1597</v>
      </c>
      <c r="L26" s="2" t="n">
        <v>6727</v>
      </c>
      <c r="M26" s="2" t="n">
        <v>856667</v>
      </c>
      <c r="N26" s="3" t="n">
        <v>0.1783</v>
      </c>
      <c r="O26" s="2" t="n">
        <v>83</v>
      </c>
      <c r="P26" s="2" t="n">
        <v>11492</v>
      </c>
      <c r="Q26" s="4" t="s">
        <v>35</v>
      </c>
      <c r="R26" s="2" t="s">
        <v>36</v>
      </c>
      <c r="S26" s="2" t="n">
        <v>5</v>
      </c>
      <c r="T26" s="2" t="s">
        <v>37</v>
      </c>
      <c r="U26" s="2" t="s">
        <v>38</v>
      </c>
      <c r="V26" s="2" t="n">
        <v>1</v>
      </c>
      <c r="W26" s="2" t="n">
        <v>12</v>
      </c>
      <c r="X26" s="2" t="n">
        <v>27</v>
      </c>
      <c r="Y26" s="2" t="n">
        <v>1</v>
      </c>
      <c r="Z26" s="2" t="s">
        <v>39</v>
      </c>
      <c r="AA26" s="2" t="s">
        <v>40</v>
      </c>
      <c r="AB26" s="2" t="s">
        <v>41</v>
      </c>
      <c r="AC26" s="2" t="s">
        <v>42</v>
      </c>
      <c r="AD26" s="2" t="s">
        <v>43</v>
      </c>
      <c r="AE26" s="2" t="s">
        <v>44</v>
      </c>
    </row>
    <row r="27" customFormat="false" ht="15" hidden="false" customHeight="false" outlineLevel="0" collapsed="false">
      <c r="A27" s="2" t="s">
        <v>101</v>
      </c>
      <c r="B27" s="2" t="s">
        <v>102</v>
      </c>
      <c r="C27" s="2" t="s">
        <v>33</v>
      </c>
      <c r="D27" s="2" t="n">
        <v>24</v>
      </c>
      <c r="E27" s="2" t="n">
        <v>9</v>
      </c>
      <c r="F27" s="2" t="n">
        <v>1</v>
      </c>
      <c r="G27" s="2" t="n">
        <v>0</v>
      </c>
      <c r="H27" s="2" t="s">
        <v>34</v>
      </c>
      <c r="I27" s="2" t="n">
        <v>0</v>
      </c>
      <c r="J27" s="2" t="n">
        <v>1</v>
      </c>
      <c r="K27" s="2" t="n">
        <v>1629</v>
      </c>
      <c r="L27" s="2" t="n">
        <v>5526</v>
      </c>
      <c r="M27" s="2" t="n">
        <v>973435</v>
      </c>
      <c r="N27" s="3" t="n">
        <v>0.1761</v>
      </c>
      <c r="O27" s="2" t="n">
        <v>76</v>
      </c>
      <c r="P27" s="2" t="n">
        <v>11189</v>
      </c>
      <c r="Q27" s="5" t="s">
        <v>47</v>
      </c>
      <c r="R27" s="2" t="s">
        <v>48</v>
      </c>
      <c r="S27" s="2" t="n">
        <v>4</v>
      </c>
      <c r="T27" s="2" t="s">
        <v>49</v>
      </c>
      <c r="U27" s="2" t="s">
        <v>48</v>
      </c>
      <c r="V27" s="2" t="n">
        <v>0</v>
      </c>
      <c r="W27" s="2" t="n">
        <v>12</v>
      </c>
      <c r="X27" s="2" t="n">
        <v>22</v>
      </c>
      <c r="Y27" s="2" t="n">
        <v>1</v>
      </c>
      <c r="Z27" s="2" t="s">
        <v>39</v>
      </c>
      <c r="AA27" s="2" t="s">
        <v>40</v>
      </c>
      <c r="AB27" s="2" t="s">
        <v>41</v>
      </c>
      <c r="AC27" s="2" t="s">
        <v>42</v>
      </c>
      <c r="AD27" s="2" t="s">
        <v>43</v>
      </c>
      <c r="AE27" s="2" t="s">
        <v>44</v>
      </c>
    </row>
    <row r="28" customFormat="false" ht="15" hidden="false" customHeight="false" outlineLevel="0" collapsed="false">
      <c r="A28" s="2" t="s">
        <v>103</v>
      </c>
      <c r="B28" s="2" t="s">
        <v>104</v>
      </c>
      <c r="C28" s="2" t="s">
        <v>33</v>
      </c>
      <c r="D28" s="2" t="n">
        <v>20</v>
      </c>
      <c r="E28" s="2" t="n">
        <v>5</v>
      </c>
      <c r="F28" s="2" t="n">
        <v>1</v>
      </c>
      <c r="G28" s="2" t="n">
        <v>0</v>
      </c>
      <c r="H28" s="2" t="s">
        <v>34</v>
      </c>
      <c r="I28" s="2" t="n">
        <v>0</v>
      </c>
      <c r="J28" s="2" t="n">
        <v>1</v>
      </c>
      <c r="K28" s="2" t="n">
        <v>1549</v>
      </c>
      <c r="L28" s="2" t="n">
        <v>5474</v>
      </c>
      <c r="M28" s="2" t="n">
        <v>563815</v>
      </c>
      <c r="N28" s="3" t="n">
        <v>0.1406</v>
      </c>
      <c r="O28" s="2" t="n">
        <v>68</v>
      </c>
      <c r="P28" s="2" t="n">
        <v>9828</v>
      </c>
      <c r="Q28" s="5" t="s">
        <v>47</v>
      </c>
      <c r="R28" s="2" t="s">
        <v>48</v>
      </c>
      <c r="S28" s="2" t="n">
        <v>4</v>
      </c>
      <c r="T28" s="2" t="s">
        <v>49</v>
      </c>
      <c r="U28" s="2" t="s">
        <v>48</v>
      </c>
      <c r="V28" s="2" t="n">
        <v>0</v>
      </c>
      <c r="W28" s="2" t="n">
        <v>12</v>
      </c>
      <c r="X28" s="2" t="n">
        <v>26</v>
      </c>
      <c r="Y28" s="2" t="n">
        <v>1</v>
      </c>
      <c r="Z28" s="2" t="s">
        <v>39</v>
      </c>
      <c r="AA28" s="2" t="s">
        <v>40</v>
      </c>
      <c r="AB28" s="2" t="s">
        <v>41</v>
      </c>
      <c r="AC28" s="2" t="s">
        <v>42</v>
      </c>
      <c r="AD28" s="2" t="s">
        <v>43</v>
      </c>
      <c r="AE28" s="2" t="s">
        <v>44</v>
      </c>
    </row>
    <row r="29" customFormat="false" ht="15" hidden="false" customHeight="false" outlineLevel="0" collapsed="false">
      <c r="A29" s="2" t="s">
        <v>105</v>
      </c>
      <c r="B29" s="2" t="s">
        <v>106</v>
      </c>
      <c r="C29" s="2" t="s">
        <v>33</v>
      </c>
      <c r="D29" s="2" t="n">
        <v>24</v>
      </c>
      <c r="E29" s="2" t="n">
        <v>6</v>
      </c>
      <c r="F29" s="2" t="n">
        <v>1</v>
      </c>
      <c r="G29" s="2" t="n">
        <v>0</v>
      </c>
      <c r="H29" s="2" t="s">
        <v>34</v>
      </c>
      <c r="I29" s="2" t="n">
        <v>0</v>
      </c>
      <c r="J29" s="2" t="n">
        <v>1</v>
      </c>
      <c r="K29" s="2" t="n">
        <v>1629</v>
      </c>
      <c r="L29" s="2" t="n">
        <v>6783</v>
      </c>
      <c r="M29" s="2" t="n">
        <v>987771</v>
      </c>
      <c r="N29" s="3" t="n">
        <v>0.1887</v>
      </c>
      <c r="O29" s="2" t="n">
        <v>88</v>
      </c>
      <c r="P29" s="2" t="n">
        <v>10820</v>
      </c>
      <c r="Q29" s="4" t="s">
        <v>35</v>
      </c>
      <c r="R29" s="2" t="s">
        <v>36</v>
      </c>
      <c r="S29" s="2" t="n">
        <v>5</v>
      </c>
      <c r="T29" s="2" t="s">
        <v>37</v>
      </c>
      <c r="U29" s="2" t="s">
        <v>38</v>
      </c>
      <c r="V29" s="2" t="n">
        <v>1</v>
      </c>
      <c r="W29" s="2" t="n">
        <v>13</v>
      </c>
      <c r="X29" s="2" t="n">
        <v>27</v>
      </c>
      <c r="Y29" s="2" t="n">
        <v>1</v>
      </c>
      <c r="Z29" s="2" t="s">
        <v>39</v>
      </c>
      <c r="AA29" s="2" t="s">
        <v>40</v>
      </c>
      <c r="AB29" s="2" t="s">
        <v>41</v>
      </c>
      <c r="AC29" s="2" t="s">
        <v>42</v>
      </c>
      <c r="AD29" s="2" t="s">
        <v>43</v>
      </c>
      <c r="AE29" s="2" t="s">
        <v>44</v>
      </c>
    </row>
    <row r="30" customFormat="false" ht="15" hidden="false" customHeight="false" outlineLevel="0" collapsed="false">
      <c r="A30" s="2" t="s">
        <v>107</v>
      </c>
      <c r="B30" s="2" t="s">
        <v>108</v>
      </c>
      <c r="C30" s="2" t="s">
        <v>33</v>
      </c>
      <c r="D30" s="2" t="n">
        <v>25</v>
      </c>
      <c r="E30" s="2" t="n">
        <v>10</v>
      </c>
      <c r="F30" s="2" t="n">
        <v>2</v>
      </c>
      <c r="G30" s="2" t="n">
        <v>0</v>
      </c>
      <c r="H30" s="2" t="s">
        <v>34</v>
      </c>
      <c r="I30" s="2" t="n">
        <v>0</v>
      </c>
      <c r="J30" s="2" t="n">
        <v>1</v>
      </c>
      <c r="K30" s="2" t="n">
        <v>1613</v>
      </c>
      <c r="L30" s="2" t="n">
        <v>5734</v>
      </c>
      <c r="M30" s="2" t="n">
        <v>980228</v>
      </c>
      <c r="N30" s="3" t="n">
        <v>0.1869</v>
      </c>
      <c r="O30" s="2" t="n">
        <v>82</v>
      </c>
      <c r="P30" s="2" t="n">
        <v>12331</v>
      </c>
      <c r="Q30" s="5" t="s">
        <v>47</v>
      </c>
      <c r="R30" s="2" t="s">
        <v>48</v>
      </c>
      <c r="S30" s="2" t="n">
        <v>4</v>
      </c>
      <c r="T30" s="2" t="s">
        <v>49</v>
      </c>
      <c r="U30" s="2" t="s">
        <v>48</v>
      </c>
      <c r="V30" s="2" t="n">
        <v>0</v>
      </c>
      <c r="W30" s="2" t="n">
        <v>12</v>
      </c>
      <c r="X30" s="2" t="n">
        <v>26</v>
      </c>
      <c r="Y30" s="2" t="n">
        <v>1</v>
      </c>
      <c r="Z30" s="2" t="s">
        <v>39</v>
      </c>
      <c r="AA30" s="2" t="s">
        <v>40</v>
      </c>
      <c r="AB30" s="2" t="s">
        <v>41</v>
      </c>
      <c r="AC30" s="2" t="s">
        <v>42</v>
      </c>
      <c r="AD30" s="2" t="s">
        <v>43</v>
      </c>
      <c r="AE30" s="2" t="s">
        <v>44</v>
      </c>
    </row>
    <row r="31" customFormat="false" ht="15" hidden="false" customHeight="false" outlineLevel="0" collapsed="false">
      <c r="A31" s="2" t="s">
        <v>109</v>
      </c>
      <c r="B31" s="2" t="s">
        <v>110</v>
      </c>
      <c r="C31" s="2" t="s">
        <v>33</v>
      </c>
      <c r="D31" s="2" t="n">
        <v>18</v>
      </c>
      <c r="E31" s="2" t="n">
        <v>4</v>
      </c>
      <c r="F31" s="2" t="n">
        <v>1</v>
      </c>
      <c r="G31" s="2" t="n">
        <v>0</v>
      </c>
      <c r="H31" s="2" t="s">
        <v>34</v>
      </c>
      <c r="I31" s="2" t="n">
        <v>0</v>
      </c>
      <c r="J31" s="2" t="n">
        <v>1</v>
      </c>
      <c r="K31" s="2" t="n">
        <v>1565</v>
      </c>
      <c r="L31" s="2" t="n">
        <v>5317</v>
      </c>
      <c r="M31" s="2" t="n">
        <v>659663</v>
      </c>
      <c r="N31" s="3" t="n">
        <v>0.1459</v>
      </c>
      <c r="O31" s="2" t="n">
        <v>69</v>
      </c>
      <c r="P31" s="2" t="n">
        <v>12360</v>
      </c>
      <c r="Q31" s="5" t="s">
        <v>47</v>
      </c>
      <c r="R31" s="2" t="s">
        <v>48</v>
      </c>
      <c r="S31" s="2" t="n">
        <v>4</v>
      </c>
      <c r="T31" s="2" t="s">
        <v>49</v>
      </c>
      <c r="U31" s="2" t="s">
        <v>48</v>
      </c>
      <c r="V31" s="2" t="n">
        <v>0</v>
      </c>
      <c r="W31" s="2" t="n">
        <v>11</v>
      </c>
      <c r="X31" s="2" t="n">
        <v>26</v>
      </c>
      <c r="Y31" s="2" t="n">
        <v>1</v>
      </c>
      <c r="Z31" s="2" t="s">
        <v>39</v>
      </c>
      <c r="AA31" s="2" t="s">
        <v>40</v>
      </c>
      <c r="AB31" s="2" t="s">
        <v>41</v>
      </c>
      <c r="AC31" s="2" t="s">
        <v>42</v>
      </c>
      <c r="AD31" s="2" t="s">
        <v>43</v>
      </c>
      <c r="AE31" s="2" t="s">
        <v>44</v>
      </c>
    </row>
    <row r="32" customFormat="false" ht="15" hidden="false" customHeight="false" outlineLevel="0" collapsed="false">
      <c r="A32" s="2" t="s">
        <v>111</v>
      </c>
      <c r="B32" s="2" t="s">
        <v>112</v>
      </c>
      <c r="C32" s="2" t="s">
        <v>33</v>
      </c>
      <c r="D32" s="2" t="n">
        <v>23</v>
      </c>
      <c r="E32" s="2" t="n">
        <v>6</v>
      </c>
      <c r="F32" s="2" t="n">
        <v>3</v>
      </c>
      <c r="G32" s="2" t="n">
        <v>0</v>
      </c>
      <c r="H32" s="2" t="s">
        <v>34</v>
      </c>
      <c r="I32" s="2" t="n">
        <v>0</v>
      </c>
      <c r="J32" s="2" t="n">
        <v>1</v>
      </c>
      <c r="K32" s="2" t="n">
        <v>1605</v>
      </c>
      <c r="L32" s="2" t="n">
        <v>6021</v>
      </c>
      <c r="M32" s="2" t="n">
        <v>896037</v>
      </c>
      <c r="N32" s="3" t="n">
        <v>0.1794</v>
      </c>
      <c r="O32" s="2" t="n">
        <v>77</v>
      </c>
      <c r="P32" s="2" t="n">
        <v>9584</v>
      </c>
      <c r="Q32" s="4" t="s">
        <v>35</v>
      </c>
      <c r="R32" s="2" t="s">
        <v>36</v>
      </c>
      <c r="S32" s="2" t="n">
        <v>5</v>
      </c>
      <c r="T32" s="2" t="s">
        <v>37</v>
      </c>
      <c r="U32" s="2" t="s">
        <v>38</v>
      </c>
      <c r="V32" s="2" t="n">
        <v>1</v>
      </c>
      <c r="W32" s="2" t="n">
        <v>13</v>
      </c>
      <c r="X32" s="2" t="n">
        <v>27</v>
      </c>
      <c r="Y32" s="2" t="n">
        <v>1</v>
      </c>
      <c r="Z32" s="2" t="s">
        <v>39</v>
      </c>
      <c r="AA32" s="2" t="s">
        <v>40</v>
      </c>
      <c r="AB32" s="2" t="s">
        <v>41</v>
      </c>
      <c r="AC32" s="2" t="s">
        <v>42</v>
      </c>
      <c r="AD32" s="2" t="s">
        <v>43</v>
      </c>
      <c r="AE32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8"/>
  </cols>
  <sheetData>
    <row r="1" customFormat="false" ht="16.15" hidden="false" customHeight="false" outlineLevel="0" collapsed="false">
      <c r="A1" s="7" t="s">
        <v>113</v>
      </c>
    </row>
    <row r="2" customFormat="false" ht="15" hidden="false" customHeight="true" outlineLevel="0" collapsed="false">
      <c r="A2" s="8" t="s">
        <v>114</v>
      </c>
      <c r="B2" s="8"/>
      <c r="C2" s="8"/>
      <c r="D2" s="8"/>
      <c r="E2" s="8"/>
      <c r="F2" s="8"/>
      <c r="G2" s="8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5" customFormat="false" ht="15" hidden="false" customHeight="false" outlineLevel="0" collapsed="false">
      <c r="A5" s="9" t="s">
        <v>115</v>
      </c>
      <c r="D5" s="9" t="s">
        <v>116</v>
      </c>
    </row>
    <row r="6" customFormat="false" ht="15" hidden="false" customHeight="false" outlineLevel="0" collapsed="false">
      <c r="A6" s="10" t="s">
        <v>47</v>
      </c>
      <c r="B6" s="11" t="n">
        <f aca="false">COUNTIF(Runs!Q:Q,"PASS")</f>
        <v>21</v>
      </c>
      <c r="D6" s="10" t="s">
        <v>117</v>
      </c>
      <c r="E6" s="12" t="n">
        <f aca="false">AVERAGE(Runs!N2:N32)</f>
        <v>0.164067741935484</v>
      </c>
    </row>
    <row r="7" customFormat="false" ht="15" hidden="false" customHeight="false" outlineLevel="0" collapsed="false">
      <c r="A7" s="10" t="s">
        <v>52</v>
      </c>
      <c r="B7" s="11" t="n">
        <f aca="false">COUNTIF(Runs!Q:Q,"FAIL")</f>
        <v>3</v>
      </c>
      <c r="D7" s="10" t="s">
        <v>118</v>
      </c>
      <c r="E7" s="13" t="n">
        <f aca="false">SUM(Runs!N2:N32)</f>
        <v>5.0861</v>
      </c>
    </row>
    <row r="8" customFormat="false" ht="15" hidden="false" customHeight="false" outlineLevel="0" collapsed="false">
      <c r="A8" s="10" t="s">
        <v>35</v>
      </c>
      <c r="B8" s="11" t="n">
        <f aca="false">COUNTIF(Runs!Q:Q,"NEEDS_HUMAN")</f>
        <v>7</v>
      </c>
      <c r="D8" s="10" t="s">
        <v>119</v>
      </c>
      <c r="E8" s="14" t="n">
        <f aca="false">AVERAGE(Runs!O2:O32)</f>
        <v>73.741935483871</v>
      </c>
    </row>
    <row r="9" customFormat="false" ht="15" hidden="false" customHeight="false" outlineLevel="0" collapsed="false">
      <c r="A9" s="10" t="s">
        <v>120</v>
      </c>
      <c r="B9" s="11" t="n">
        <f aca="false">COUNTA(Runs!A:A)-1</f>
        <v>31</v>
      </c>
      <c r="D9" s="10" t="s">
        <v>3</v>
      </c>
      <c r="E9" s="15" t="n">
        <f aca="false">AVERAGE(Runs!D2:D32)</f>
        <v>21.0645161290323</v>
      </c>
    </row>
    <row r="10" customFormat="false" ht="15" hidden="false" customHeight="false" outlineLevel="0" collapsed="false">
      <c r="D10" s="10" t="s">
        <v>121</v>
      </c>
      <c r="E10" s="15" t="n">
        <f aca="false">AVERAGE(Runs!W2:W32)</f>
        <v>11.1290322580645</v>
      </c>
    </row>
    <row r="11" customFormat="false" ht="15" hidden="false" customHeight="false" outlineLevel="0" collapsed="false">
      <c r="D11" s="10" t="s">
        <v>122</v>
      </c>
      <c r="E11" s="15" t="n">
        <f aca="false">AVERAGE(Runs!X2:X32)</f>
        <v>24.3870967741935</v>
      </c>
    </row>
    <row r="13" customFormat="false" ht="15" hidden="false" customHeight="false" outlineLevel="0" collapsed="false">
      <c r="A13" s="9" t="s">
        <v>123</v>
      </c>
    </row>
    <row r="14" customFormat="false" ht="15" hidden="false" customHeight="false" outlineLevel="0" collapsed="false">
      <c r="A14" s="10" t="s">
        <v>124</v>
      </c>
      <c r="B14" s="11" t="n">
        <f aca="false">COUNTIF(Runs!G:G,"&gt;0")</f>
        <v>0</v>
      </c>
    </row>
    <row r="15" customFormat="false" ht="15" hidden="false" customHeight="false" outlineLevel="0" collapsed="false">
      <c r="A15" s="10" t="s">
        <v>125</v>
      </c>
      <c r="B15" s="11" t="n">
        <f aca="false">COUNTIF(Runs!I:I,"&gt;0")</f>
        <v>0</v>
      </c>
    </row>
    <row r="16" customFormat="false" ht="15" hidden="false" customHeight="false" outlineLevel="0" collapsed="false">
      <c r="A16" s="10" t="s">
        <v>126</v>
      </c>
      <c r="B16" s="11" t="n">
        <f aca="false">COUNTIF(Runs!H:H,1)</f>
        <v>0</v>
      </c>
    </row>
    <row r="17" customFormat="false" ht="15" hidden="false" customHeight="false" outlineLevel="0" collapsed="false">
      <c r="A17" s="10" t="s">
        <v>127</v>
      </c>
      <c r="B17" s="11" t="n">
        <f aca="false">COUNTIF(Runs!J:J,1)</f>
        <v>31</v>
      </c>
    </row>
    <row r="18" customFormat="false" ht="15" hidden="false" customHeight="false" outlineLevel="0" collapsed="false">
      <c r="A18" s="10" t="s">
        <v>128</v>
      </c>
      <c r="B18" s="11" t="n">
        <f aca="false">COUNTIF(Runs!V:V,1)</f>
        <v>7</v>
      </c>
    </row>
    <row r="20" customFormat="false" ht="15" hidden="false" customHeight="false" outlineLevel="0" collapsed="false">
      <c r="A20" s="9" t="s">
        <v>129</v>
      </c>
      <c r="D20" s="9" t="s">
        <v>130</v>
      </c>
    </row>
    <row r="21" customFormat="false" ht="15" hidden="false" customHeight="false" outlineLevel="0" collapsed="false">
      <c r="A21" s="9" t="s">
        <v>131</v>
      </c>
      <c r="B21" s="9" t="s">
        <v>132</v>
      </c>
      <c r="C21" s="9" t="s">
        <v>133</v>
      </c>
      <c r="D21" s="9" t="s">
        <v>134</v>
      </c>
      <c r="E21" s="11" t="n">
        <f aca="false">COUNTIF(Runs!Y:Y,1)</f>
        <v>31</v>
      </c>
    </row>
    <row r="22" customFormat="false" ht="15" hidden="false" customHeight="false" outlineLevel="0" collapsed="false">
      <c r="A22" s="10" t="s">
        <v>135</v>
      </c>
      <c r="B22" s="10" t="s">
        <v>34</v>
      </c>
      <c r="C22" s="16" t="s">
        <v>136</v>
      </c>
      <c r="D22" s="9" t="s">
        <v>137</v>
      </c>
      <c r="E22" s="17" t="n">
        <f aca="false">COUNTIFS(Runs!Y:Y,1,Runs!Q:Q,"&lt;&gt;PASS")</f>
        <v>10</v>
      </c>
    </row>
    <row r="23" customFormat="false" ht="15" hidden="false" customHeight="true" outlineLevel="0" collapsed="false">
      <c r="A23" s="10" t="s">
        <v>138</v>
      </c>
      <c r="B23" s="10" t="s">
        <v>34</v>
      </c>
      <c r="C23" s="16" t="s">
        <v>136</v>
      </c>
      <c r="D23" s="18" t="s">
        <v>139</v>
      </c>
      <c r="E23" s="18"/>
      <c r="F23" s="18"/>
      <c r="G23" s="18"/>
    </row>
    <row r="24" customFormat="false" ht="15" hidden="false" customHeight="false" outlineLevel="0" collapsed="false">
      <c r="A24" s="10" t="s">
        <v>140</v>
      </c>
      <c r="B24" s="10" t="s">
        <v>141</v>
      </c>
      <c r="C24" s="16" t="s">
        <v>142</v>
      </c>
      <c r="D24" s="18"/>
      <c r="E24" s="18"/>
      <c r="F24" s="18"/>
      <c r="G24" s="18"/>
    </row>
    <row r="25" customFormat="false" ht="15" hidden="false" customHeight="false" outlineLevel="0" collapsed="false">
      <c r="A25" s="10" t="s">
        <v>143</v>
      </c>
      <c r="B25" s="10" t="s">
        <v>144</v>
      </c>
      <c r="C25" s="16" t="s">
        <v>145</v>
      </c>
      <c r="D25" s="18"/>
      <c r="E25" s="18"/>
      <c r="F25" s="18"/>
      <c r="G25" s="18"/>
    </row>
    <row r="26" customFormat="false" ht="15" hidden="false" customHeight="false" outlineLevel="0" collapsed="false">
      <c r="A26" s="10" t="s">
        <v>38</v>
      </c>
      <c r="B26" s="10" t="s">
        <v>146</v>
      </c>
      <c r="C26" s="16" t="s">
        <v>147</v>
      </c>
    </row>
    <row r="28" customFormat="false" ht="15" hidden="false" customHeight="true" outlineLevel="0" collapsed="false">
      <c r="A28" s="18" t="s">
        <v>148</v>
      </c>
      <c r="B28" s="18"/>
      <c r="C28" s="18"/>
      <c r="D28" s="18"/>
      <c r="E28" s="18"/>
      <c r="F28" s="18"/>
      <c r="G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</row>
    <row r="32" customFormat="false" ht="15" hidden="false" customHeight="false" outlineLevel="0" collapsed="false">
      <c r="A32" s="9" t="s">
        <v>149</v>
      </c>
    </row>
    <row r="33" customFormat="false" ht="15" hidden="false" customHeight="true" outlineLevel="0" collapsed="false">
      <c r="A33" s="18" t="s">
        <v>150</v>
      </c>
      <c r="B33" s="18"/>
      <c r="C33" s="18"/>
      <c r="D33" s="18"/>
      <c r="E33" s="18"/>
      <c r="F33" s="18"/>
      <c r="G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8"/>
    </row>
  </sheetData>
  <mergeCells count="4">
    <mergeCell ref="A2:G3"/>
    <mergeCell ref="D23:G25"/>
    <mergeCell ref="A28:G30"/>
    <mergeCell ref="A33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151</v>
      </c>
      <c r="B1" s="1" t="s">
        <v>152</v>
      </c>
      <c r="C1" s="1" t="s">
        <v>153</v>
      </c>
      <c r="D1" s="1" t="s">
        <v>154</v>
      </c>
    </row>
    <row r="2" customFormat="false" ht="15" hidden="false" customHeight="false" outlineLevel="0" collapsed="false">
      <c r="A2" s="19" t="s">
        <v>0</v>
      </c>
      <c r="B2" s="20" t="s">
        <v>155</v>
      </c>
      <c r="C2" s="19" t="s">
        <v>156</v>
      </c>
      <c r="D2" s="19" t="s">
        <v>157</v>
      </c>
    </row>
    <row r="3" customFormat="false" ht="15" hidden="false" customHeight="false" outlineLevel="0" collapsed="false">
      <c r="A3" s="19" t="s">
        <v>1</v>
      </c>
      <c r="B3" s="20" t="s">
        <v>158</v>
      </c>
      <c r="C3" s="19" t="s">
        <v>159</v>
      </c>
      <c r="D3" s="19" t="s">
        <v>157</v>
      </c>
    </row>
    <row r="4" customFormat="false" ht="15" hidden="false" customHeight="false" outlineLevel="0" collapsed="false">
      <c r="A4" s="19" t="s">
        <v>2</v>
      </c>
      <c r="B4" s="20" t="s">
        <v>160</v>
      </c>
      <c r="C4" s="19" t="s">
        <v>161</v>
      </c>
      <c r="D4" s="19" t="s">
        <v>162</v>
      </c>
    </row>
    <row r="5" customFormat="false" ht="15" hidden="false" customHeight="false" outlineLevel="0" collapsed="false">
      <c r="A5" s="19" t="s">
        <v>3</v>
      </c>
      <c r="B5" s="20" t="s">
        <v>163</v>
      </c>
      <c r="C5" s="19" t="s">
        <v>164</v>
      </c>
      <c r="D5" s="19" t="s">
        <v>162</v>
      </c>
    </row>
    <row r="6" customFormat="false" ht="15" hidden="false" customHeight="false" outlineLevel="0" collapsed="false">
      <c r="A6" s="19" t="s">
        <v>4</v>
      </c>
      <c r="B6" s="20" t="s">
        <v>165</v>
      </c>
      <c r="C6" s="19" t="s">
        <v>166</v>
      </c>
      <c r="D6" s="19" t="s">
        <v>167</v>
      </c>
    </row>
    <row r="7" customFormat="false" ht="15" hidden="false" customHeight="false" outlineLevel="0" collapsed="false">
      <c r="A7" s="19" t="s">
        <v>5</v>
      </c>
      <c r="B7" s="20" t="s">
        <v>168</v>
      </c>
      <c r="C7" s="19" t="s">
        <v>169</v>
      </c>
      <c r="D7" s="19" t="s">
        <v>167</v>
      </c>
    </row>
    <row r="8" customFormat="false" ht="15" hidden="false" customHeight="false" outlineLevel="0" collapsed="false">
      <c r="A8" s="19" t="s">
        <v>6</v>
      </c>
      <c r="B8" s="20" t="s">
        <v>170</v>
      </c>
      <c r="C8" s="19" t="s">
        <v>171</v>
      </c>
      <c r="D8" s="19" t="s">
        <v>167</v>
      </c>
    </row>
    <row r="9" customFormat="false" ht="15" hidden="false" customHeight="false" outlineLevel="0" collapsed="false">
      <c r="A9" s="19" t="s">
        <v>7</v>
      </c>
      <c r="B9" s="20" t="s">
        <v>172</v>
      </c>
      <c r="C9" s="19" t="s">
        <v>173</v>
      </c>
      <c r="D9" s="19" t="s">
        <v>167</v>
      </c>
    </row>
    <row r="10" customFormat="false" ht="15" hidden="false" customHeight="false" outlineLevel="0" collapsed="false">
      <c r="A10" s="19" t="s">
        <v>8</v>
      </c>
      <c r="B10" s="20" t="s">
        <v>174</v>
      </c>
      <c r="C10" s="19" t="s">
        <v>175</v>
      </c>
      <c r="D10" s="19" t="s">
        <v>167</v>
      </c>
    </row>
    <row r="11" customFormat="false" ht="15" hidden="false" customHeight="false" outlineLevel="0" collapsed="false">
      <c r="A11" s="19" t="s">
        <v>9</v>
      </c>
      <c r="B11" s="20" t="s">
        <v>176</v>
      </c>
      <c r="C11" s="19" t="s">
        <v>177</v>
      </c>
      <c r="D11" s="19" t="s">
        <v>167</v>
      </c>
    </row>
    <row r="12" customFormat="false" ht="15" hidden="false" customHeight="false" outlineLevel="0" collapsed="false">
      <c r="A12" s="19" t="s">
        <v>178</v>
      </c>
      <c r="B12" s="20" t="s">
        <v>179</v>
      </c>
      <c r="C12" s="19" t="s">
        <v>180</v>
      </c>
      <c r="D12" s="19" t="s">
        <v>162</v>
      </c>
    </row>
    <row r="13" customFormat="false" ht="15" hidden="false" customHeight="false" outlineLevel="0" collapsed="false">
      <c r="A13" s="19" t="s">
        <v>13</v>
      </c>
      <c r="B13" s="20" t="s">
        <v>181</v>
      </c>
      <c r="C13" s="19" t="s">
        <v>182</v>
      </c>
      <c r="D13" s="19" t="s">
        <v>162</v>
      </c>
    </row>
    <row r="14" customFormat="false" ht="15" hidden="false" customHeight="false" outlineLevel="0" collapsed="false">
      <c r="A14" s="19" t="s">
        <v>14</v>
      </c>
      <c r="B14" s="20" t="s">
        <v>183</v>
      </c>
      <c r="C14" s="19" t="s">
        <v>184</v>
      </c>
      <c r="D14" s="19" t="s">
        <v>157</v>
      </c>
    </row>
    <row r="15" customFormat="false" ht="15" hidden="false" customHeight="false" outlineLevel="0" collapsed="false">
      <c r="A15" s="19" t="s">
        <v>15</v>
      </c>
      <c r="B15" s="20" t="s">
        <v>185</v>
      </c>
      <c r="C15" s="19" t="s">
        <v>186</v>
      </c>
      <c r="D15" s="19" t="s">
        <v>187</v>
      </c>
    </row>
    <row r="16" customFormat="false" ht="15" hidden="false" customHeight="false" outlineLevel="0" collapsed="false">
      <c r="A16" s="19" t="s">
        <v>16</v>
      </c>
      <c r="B16" s="20" t="s">
        <v>188</v>
      </c>
      <c r="C16" s="19" t="s">
        <v>189</v>
      </c>
      <c r="D16" s="19" t="s">
        <v>187</v>
      </c>
    </row>
    <row r="17" customFormat="false" ht="15" hidden="false" customHeight="false" outlineLevel="0" collapsed="false">
      <c r="A17" s="19" t="s">
        <v>17</v>
      </c>
      <c r="B17" s="20" t="s">
        <v>190</v>
      </c>
      <c r="C17" s="19" t="s">
        <v>191</v>
      </c>
      <c r="D17" s="19" t="s">
        <v>187</v>
      </c>
    </row>
    <row r="18" customFormat="false" ht="15" hidden="false" customHeight="false" outlineLevel="0" collapsed="false">
      <c r="A18" s="19" t="s">
        <v>192</v>
      </c>
      <c r="B18" s="20" t="s">
        <v>193</v>
      </c>
      <c r="C18" s="19" t="s">
        <v>194</v>
      </c>
      <c r="D18" s="19" t="s">
        <v>187</v>
      </c>
    </row>
    <row r="19" customFormat="false" ht="15" hidden="false" customHeight="false" outlineLevel="0" collapsed="false">
      <c r="A19" s="19" t="s">
        <v>20</v>
      </c>
      <c r="B19" s="20" t="s">
        <v>195</v>
      </c>
      <c r="C19" s="19" t="s">
        <v>196</v>
      </c>
      <c r="D19" s="19" t="s">
        <v>157</v>
      </c>
    </row>
    <row r="20" customFormat="false" ht="15" hidden="false" customHeight="false" outlineLevel="0" collapsed="false">
      <c r="A20" s="19" t="s">
        <v>21</v>
      </c>
      <c r="B20" s="20" t="s">
        <v>197</v>
      </c>
      <c r="C20" s="19" t="s">
        <v>198</v>
      </c>
      <c r="D20" s="19" t="s">
        <v>199</v>
      </c>
    </row>
    <row r="21" customFormat="false" ht="15" hidden="false" customHeight="false" outlineLevel="0" collapsed="false">
      <c r="A21" s="19" t="s">
        <v>200</v>
      </c>
      <c r="B21" s="20" t="s">
        <v>201</v>
      </c>
      <c r="C21" s="19" t="s">
        <v>202</v>
      </c>
      <c r="D21" s="19" t="s">
        <v>157</v>
      </c>
    </row>
    <row r="22" customFormat="false" ht="15" hidden="false" customHeight="false" outlineLevel="0" collapsed="false">
      <c r="A22" s="19" t="s">
        <v>203</v>
      </c>
      <c r="B22" s="20" t="s">
        <v>204</v>
      </c>
      <c r="C22" s="19" t="s">
        <v>205</v>
      </c>
      <c r="D22" s="19" t="s">
        <v>157</v>
      </c>
    </row>
    <row r="23" customFormat="false" ht="15" hidden="false" customHeight="false" outlineLevel="0" collapsed="false">
      <c r="A23" s="19" t="s">
        <v>24</v>
      </c>
      <c r="B23" s="20" t="s">
        <v>206</v>
      </c>
      <c r="C23" s="19" t="s">
        <v>207</v>
      </c>
      <c r="D23" s="19" t="s">
        <v>167</v>
      </c>
    </row>
    <row r="24" customFormat="false" ht="15" hidden="false" customHeight="false" outlineLevel="0" collapsed="false">
      <c r="A24" s="19" t="s">
        <v>25</v>
      </c>
      <c r="B24" s="20" t="s">
        <v>208</v>
      </c>
      <c r="C24" s="19" t="s">
        <v>209</v>
      </c>
      <c r="D24" s="19" t="s">
        <v>157</v>
      </c>
    </row>
    <row r="25" customFormat="false" ht="15" hidden="false" customHeight="false" outlineLevel="0" collapsed="false">
      <c r="A25" s="19" t="s">
        <v>210</v>
      </c>
      <c r="B25" s="20" t="s">
        <v>211</v>
      </c>
      <c r="C25" s="19" t="s">
        <v>212</v>
      </c>
      <c r="D25" s="19" t="s">
        <v>213</v>
      </c>
    </row>
    <row r="26" customFormat="false" ht="15" hidden="false" customHeight="false" outlineLevel="0" collapsed="false">
      <c r="A26" s="19" t="s">
        <v>28</v>
      </c>
      <c r="B26" s="20" t="s">
        <v>214</v>
      </c>
      <c r="C26" s="19" t="s">
        <v>215</v>
      </c>
      <c r="D26" s="19" t="s">
        <v>187</v>
      </c>
    </row>
    <row r="27" customFormat="false" ht="15" hidden="false" customHeight="false" outlineLevel="0" collapsed="false">
      <c r="A27" s="19" t="s">
        <v>216</v>
      </c>
      <c r="B27" s="20" t="s">
        <v>217</v>
      </c>
      <c r="C27" s="19" t="s">
        <v>218</v>
      </c>
      <c r="D27" s="19" t="s">
        <v>219</v>
      </c>
    </row>
    <row r="29" customFormat="false" ht="15" hidden="false" customHeight="false" outlineLevel="0" collapsed="false">
      <c r="A29" s="21" t="s">
        <v>220</v>
      </c>
      <c r="B29" s="21"/>
      <c r="C29" s="21"/>
      <c r="D29" s="21"/>
    </row>
    <row r="30" customFormat="false" ht="15" hidden="false" customHeight="false" outlineLevel="0" collapsed="false">
      <c r="A30" s="21"/>
      <c r="B30" s="21"/>
      <c r="C30" s="21"/>
      <c r="D30" s="21"/>
    </row>
  </sheetData>
  <mergeCells count="1">
    <mergeCell ref="A29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22" t="s">
        <v>221</v>
      </c>
      <c r="B1" s="22"/>
      <c r="C1" s="22"/>
      <c r="D1" s="22"/>
    </row>
    <row r="2" customFormat="false" ht="15" hidden="false" customHeight="false" outlineLevel="0" collapsed="false">
      <c r="A2" s="21" t="s">
        <v>222</v>
      </c>
      <c r="B2" s="21"/>
      <c r="C2" s="21"/>
      <c r="D2" s="21"/>
    </row>
    <row r="3" customFormat="false" ht="15" hidden="false" customHeight="false" outlineLevel="0" collapsed="false">
      <c r="A3" s="21"/>
      <c r="B3" s="21"/>
      <c r="C3" s="21"/>
      <c r="D3" s="21"/>
    </row>
    <row r="5" customFormat="false" ht="15" hidden="false" customHeight="false" outlineLevel="0" collapsed="false">
      <c r="A5" s="1" t="s">
        <v>223</v>
      </c>
      <c r="B5" s="1" t="s">
        <v>224</v>
      </c>
      <c r="C5" s="1" t="s">
        <v>225</v>
      </c>
      <c r="D5" s="1" t="s">
        <v>226</v>
      </c>
    </row>
    <row r="6" customFormat="false" ht="22.35" hidden="false" customHeight="false" outlineLevel="0" collapsed="false">
      <c r="A6" s="23" t="s">
        <v>227</v>
      </c>
      <c r="B6" s="23" t="s">
        <v>228</v>
      </c>
      <c r="C6" s="23" t="s">
        <v>229</v>
      </c>
      <c r="D6" s="23" t="s">
        <v>230</v>
      </c>
    </row>
    <row r="7" customFormat="false" ht="32.8" hidden="false" customHeight="false" outlineLevel="0" collapsed="false">
      <c r="A7" s="23" t="s">
        <v>231</v>
      </c>
      <c r="B7" s="23" t="s">
        <v>232</v>
      </c>
      <c r="C7" s="23" t="s">
        <v>233</v>
      </c>
      <c r="D7" s="23" t="s">
        <v>234</v>
      </c>
    </row>
    <row r="8" customFormat="false" ht="22.35" hidden="false" customHeight="false" outlineLevel="0" collapsed="false">
      <c r="A8" s="23" t="s">
        <v>235</v>
      </c>
      <c r="B8" s="23" t="s">
        <v>236</v>
      </c>
      <c r="C8" s="23" t="s">
        <v>237</v>
      </c>
      <c r="D8" s="23" t="s">
        <v>238</v>
      </c>
    </row>
  </sheetData>
  <mergeCells count="2">
    <mergeCell ref="A1:D1"/>
    <mergeCell ref="A2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2026-09-03T19:49:05Z</dcterms:created>
  <dc:creator>openpyxl</dc:creator>
  <dc:description/>
  <dc:language>en-CA</dc:language>
  <cp:lastModifiedBy/>
  <dcterms:modified xsi:type="dcterms:W3CDTF">2026-09-03T19:49:05Z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