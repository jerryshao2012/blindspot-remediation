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<sst xmlns="http://schemas.openxmlformats.org/spreadsheetml/2006/main" count="326" uniqueCount="150">
  <si>
    <t xml:space="preserve">run_id</t>
  </si>
  <si>
    <t xml:space="preserve">date</t>
  </si>
  <si>
    <t xml:space="preserve">repo</t>
  </si>
  <si>
    <t xml:space="preserve">task</t>
  </si>
  <si>
    <t xml:space="preserve">gate</t>
  </si>
  <si>
    <t xml:space="preserve">executor / model</t>
  </si>
  <si>
    <t xml:space="preserve">card</t>
  </si>
  <si>
    <t xml:space="preserve">gate verdict</t>
  </si>
  <si>
    <t xml:space="preserve">reason codes</t>
  </si>
  <si>
    <t xml:space="preserve">checks</t>
  </si>
  <si>
    <t xml:space="preserve">truth (oracle)</t>
  </si>
  <si>
    <t xml:space="preserve">classification</t>
  </si>
  <si>
    <t xml:space="preserve">human step</t>
  </si>
  <si>
    <t xml:space="preserve">wall_s</t>
  </si>
  <si>
    <t xml:space="preserve">cost</t>
  </si>
  <si>
    <t xml:space="preserve">base commit</t>
  </si>
  <si>
    <t xml:space="preserve">patch sha256</t>
  </si>
  <si>
    <t xml:space="preserve">evidence path</t>
  </si>
  <si>
    <t xml:space="preserve">control2-lazy</t>
  </si>
  <si>
    <t xml:space="preserve">2026-08-16</t>
  </si>
  <si>
    <t xml:space="preserve">python-slugify</t>
  </si>
  <si>
    <t xml:space="preserve">X1</t>
  </si>
  <si>
    <t xml:space="preserve">gate.sh v1</t>
  </si>
  <si>
    <t xml:space="preserve">planted candidate (no AI)</t>
  </si>
  <si>
    <t xml:space="preserve">v1</t>
  </si>
  <si>
    <t xml:space="preserve">PASS</t>
  </si>
  <si>
    <t xml:space="preserve">-</t>
  </si>
  <si>
    <t xml:space="preserve">6 checks (see evidence)</t>
  </si>
  <si>
    <t xml:space="preserve">wrong (kept fallback import)</t>
  </si>
  <si>
    <t xml:space="preserve">FALSE_RELEASE</t>
  </si>
  <si>
    <t xml:space="preserve">none</t>
  </si>
  <si>
    <t xml:space="preserve">0</t>
  </si>
  <si>
    <t xml:space="preserve">7b6d5d96</t>
  </si>
  <si>
    <t xml:space="preserve">demo/runs/control2-lazy/</t>
  </si>
  <si>
    <t xml:space="preserve">run-01</t>
  </si>
  <si>
    <t xml:space="preserve">Copilot CLI - claude-haiku-4.5 (Auto)</t>
  </si>
  <si>
    <t xml:space="preserve">NEEDS_HUMAN</t>
  </si>
  <si>
    <t xml:space="preserve">tests could not run (pytest exit 2)</t>
  </si>
  <si>
    <t xml:space="preserve">tests=error; coverage=error; 4 pass</t>
  </si>
  <si>
    <t xml:space="preserve">oracle could not run</t>
  </si>
  <si>
    <t xml:space="preserve">escalated</t>
  </si>
  <si>
    <t xml:space="preserve">none - as delivered</t>
  </si>
  <si>
    <t xml:space="preserve">127</t>
  </si>
  <si>
    <t xml:space="preserve">16.2 AIC</t>
  </si>
  <si>
    <t xml:space="preserve">demo/runs/run-01/</t>
  </si>
  <si>
    <t xml:space="preserve">run-01b</t>
  </si>
  <si>
    <t xml:space="preserve">Copilot CLI (same session as run-01)</t>
  </si>
  <si>
    <t xml:space="preserve">6 checks pass</t>
  </si>
  <si>
    <t xml:space="preserve">correct (oracle 15/15)</t>
  </si>
  <si>
    <t xml:space="preserve">good_pass</t>
  </si>
  <si>
    <t xml:space="preserve">re-gate after human pip install Unidecode</t>
  </si>
  <si>
    <t xml:space="preserve">(same)</t>
  </si>
  <si>
    <t xml:space="preserve">demo/runs/run-01b/</t>
  </si>
  <si>
    <t xml:space="preserve">run-02</t>
  </si>
  <si>
    <t xml:space="preserve">v2</t>
  </si>
  <si>
    <t xml:space="preserve">103</t>
  </si>
  <si>
    <t xml:space="preserve">16.6 AIC</t>
  </si>
  <si>
    <t xml:space="preserve">demo/runs/run-02/</t>
  </si>
  <si>
    <t xml:space="preserve">run-03</t>
  </si>
  <si>
    <t xml:space="preserve">90</t>
  </si>
  <si>
    <t xml:space="preserve">10.4 AIC</t>
  </si>
  <si>
    <t xml:space="preserve">demo/runs/run-03/</t>
  </si>
  <si>
    <t xml:space="preserve">run-04</t>
  </si>
  <si>
    <t xml:space="preserve">92</t>
  </si>
  <si>
    <t xml:space="preserve">11.4 AIC</t>
  </si>
  <si>
    <t xml:space="preserve">demo/runs/run-04/</t>
  </si>
  <si>
    <t xml:space="preserve">run-05</t>
  </si>
  <si>
    <t xml:space="preserve">69</t>
  </si>
  <si>
    <t xml:space="preserve">9.0 AIC</t>
  </si>
  <si>
    <t xml:space="preserve">demo/runs/run-05/</t>
  </si>
  <si>
    <t xml:space="preserve">verify-fail-49e5f5d3</t>
  </si>
  <si>
    <t xml:space="preserve">2026-08-27 13:25:11</t>
  </si>
  <si>
    <t xml:space="preserve">release-gate 0.6.0</t>
  </si>
  <si>
    <t xml:space="preserve">control patch (scripted)</t>
  </si>
  <si>
    <t xml:space="preserve">FAIL</t>
  </si>
  <si>
    <t xml:space="preserve">PATH_FORBIDDEN, PATH_OUTSIDE_ALLOWED</t>
  </si>
  <si>
    <t xml:space="preserve">tests-and-coverage=PASS; task-consistency=PASS; types=PASS</t>
  </si>
  <si>
    <t xml:space="preserve">unacceptable (evidence tampered)</t>
  </si>
  <si>
    <t xml:space="preserve">good_catch</t>
  </si>
  <si>
    <t xml:space="preserve">42e5e792a247</t>
  </si>
  <si>
    <t xml:space="preserve">b285f3bfb5eb</t>
  </si>
  <si>
    <t xml:space="preserve">release-gate/demo/python-slugify/workbench/evidence/verify-fail-49e5f5d3/result.json</t>
  </si>
  <si>
    <t xml:space="preserve">verify-needs-human-95cbdc09</t>
  </si>
  <si>
    <t xml:space="preserve">2026-08-27 13:25:14</t>
  </si>
  <si>
    <t xml:space="preserve">PATH_OUTSIDE_ALLOWED, PATH_REVIEW_REQUIRED, POLICY_FILE_CHANGED</t>
  </si>
  <si>
    <t xml:space="preserve">tests-and-coverage=SKIPPED; task-consistency=SKIPPED; types=SKIPPED</t>
  </si>
  <si>
    <t xml:space="preserve">correct</t>
  </si>
  <si>
    <t xml:space="preserve">f8cd46d77fc4</t>
  </si>
  <si>
    <t xml:space="preserve">release-gate/demo/python-slugify/workbench/evidence/verify-needs-human-95cbdc09/result.json</t>
  </si>
  <si>
    <t xml:space="preserve">verify-pass-9f5f9469</t>
  </si>
  <si>
    <t xml:space="preserve">2026-08-27 13:24:58</t>
  </si>
  <si>
    <t xml:space="preserve">7e8bd4232c58</t>
  </si>
  <si>
    <t xml:space="preserve">release-gate/demo/python-slugify/workbench/evidence/verify-pass-9f5f9469/result.json</t>
  </si>
  <si>
    <t xml:space="preserve">20260827T143722Z-58368f55bad1</t>
  </si>
  <si>
    <t xml:space="preserve">2026-08-27 14:37:34</t>
  </si>
  <si>
    <t xml:space="preserve">correct (oracle 16/16)</t>
  </si>
  <si>
    <t xml:space="preserve">release-gate/demo/python-slugify/workbench/python-slugify/.release-gate/runs/20260827T143722Z-58368f55bad1/result.json</t>
  </si>
  <si>
    <t xml:space="preserve">20260827T143810Z-3f63b25ea0e9</t>
  </si>
  <si>
    <t xml:space="preserve">2026-08-27 14:38:21</t>
  </si>
  <si>
    <t xml:space="preserve">release-gate/demo/python-slugify/workbench/python-slugify/.release-gate/runs/20260827T143810Z-3f63b25ea0e9/result.json</t>
  </si>
  <si>
    <t xml:space="preserve">verify-fail-62824f08</t>
  </si>
  <si>
    <t xml:space="preserve">2026-08-27 13:28:09</t>
  </si>
  <si>
    <t xml:space="preserve">rate-limiter</t>
  </si>
  <si>
    <t xml:space="preserve">RL</t>
  </si>
  <si>
    <t xml:space="preserve">COMMAND_FAILED</t>
  </si>
  <si>
    <t xml:space="preserve">quality-gauntlet=FAIL</t>
  </si>
  <si>
    <t xml:space="preserve">1e9975f330fa</t>
  </si>
  <si>
    <t xml:space="preserve">057590339e8e</t>
  </si>
  <si>
    <t xml:space="preserve">release-gate/demo/rate-limiter/workbench/control-evidence/verify-fail-62824f08/result.json</t>
  </si>
  <si>
    <t xml:space="preserve">verify-needs-human-4d451a98</t>
  </si>
  <si>
    <t xml:space="preserve">2026-08-27 13:28:32</t>
  </si>
  <si>
    <t xml:space="preserve">quality-gauntlet=SKIPPED</t>
  </si>
  <si>
    <t xml:space="preserve">b1a3a7eb6894</t>
  </si>
  <si>
    <t xml:space="preserve">release-gate/demo/rate-limiter/workbench/control-evidence/verify-needs-human-4d451a98/result.json</t>
  </si>
  <si>
    <t xml:space="preserve">verify-pass-1f9d892a</t>
  </si>
  <si>
    <t xml:space="preserve">2026-08-27 13:27:12</t>
  </si>
  <si>
    <t xml:space="preserve">quality-gauntlet=PASS</t>
  </si>
  <si>
    <t xml:space="preserve">26209b3a4832</t>
  </si>
  <si>
    <t xml:space="preserve">release-gate/demo/rate-limiter/workbench/control-evidence/verify-pass-1f9d892a/result.json</t>
  </si>
  <si>
    <t xml:space="preserve">X1 Campaign Ledger - Summary</t>
  </si>
  <si>
    <t xml:space="preserve">One row per gate run in the Runs sheet. All counts below are formulas over full columns - append rows to Runs and this page updates.</t>
  </si>
  <si>
    <t xml:space="preserve">Gate verdicts</t>
  </si>
  <si>
    <t xml:space="preserve">Classification (gate vs truth)</t>
  </si>
  <si>
    <t xml:space="preserve">total runs</t>
  </si>
  <si>
    <t xml:space="preserve">FALSE_BLOCK</t>
  </si>
  <si>
    <t xml:space="preserve">not graded</t>
  </si>
  <si>
    <t xml:space="preserve">Rates</t>
  </si>
  <si>
    <t xml:space="preserve">needs-human rate</t>
  </si>
  <si>
    <t xml:space="preserve">false-release rate (graded runs)</t>
  </si>
  <si>
    <t xml:space="preserve">What N clean runs can claim (0 observed failures -&gt; true failure rate could still be up to...)</t>
  </si>
  <si>
    <t xml:space="preserve">n=4</t>
  </si>
  <si>
    <t xml:space="preserve">n=5</t>
  </si>
  <si>
    <t xml:space="preserve">n=10</t>
  </si>
  <si>
    <t xml:space="preserve">n=20</t>
  </si>
  <si>
    <t xml:space="preserve">n=30</t>
  </si>
  <si>
    <t xml:space="preserve">n=100</t>
  </si>
  <si>
    <t xml:space="preserve">49.0%</t>
  </si>
  <si>
    <t xml:space="preserve">43.4%</t>
  </si>
  <si>
    <t xml:space="preserve">27.8%</t>
  </si>
  <si>
    <t xml:space="preserve">16.1%</t>
  </si>
  <si>
    <t xml:space="preserve">11.4%</t>
  </si>
  <si>
    <t xml:space="preserve">3.7%</t>
  </si>
  <si>
    <t xml:space="preserve">Source: Wilson 95% upper bound, computed with B5-evaluation-campaign/src/l1_automation/evaluation/statistics.py (wilson_interval, successes=0).</t>
  </si>
  <si>
    <t xml:space="preserve">How to add a run (the whole process)</t>
  </si>
  <si>
    <t xml:space="preserve">1 - Run the gate:  release-gate run --repo &lt;workbench&gt; --base &lt;tag&gt;   -&gt; prints VERDICT and RESULT path.</t>
  </si>
  <si>
    <t xml:space="preserve">2 - Grade it (benchmark tasks only):  python3 demo.py grade --result &lt;RESULT&gt;   -&gt; truth + classification.</t>
  </si>
  <si>
    <t xml:space="preserve">3 - Copy run_id, verdict, reason codes, truth, classification from result.json / grade output into one Runs row.</t>
  </si>
  <si>
    <t xml:space="preserve">Every value is already machine-readable - a 20-line script can append the row automatically; nothing is hand-computed.</t>
  </si>
  <si>
    <t xml:space="preserve">Legend</t>
  </si>
  <si>
    <t xml:space="preserve">Editable: Runs rows only (append at bottom). Summary is all formulas + this static Wilson table. gate.sh v1 rows = live Copilot campaign (2026-08-16); release-gate 0.6.0 rows = scripted control runs (2026-08-27).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</si>
</sst>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B88C"/>
      <name val="Arial"/>
      <family val="0"/>
      <charset val="1"/>
    </font>
    <font>
      <b val="true"/>
      <sz val="10"/>
      <color rgb="FFE9425F"/>
      <name val="Arial"/>
      <family val="0"/>
      <charset val="1"/>
    </font>
    <font>
      <b val="true"/>
      <sz val="10"/>
      <color rgb="FFD99100"/>
      <name val="Arial"/>
      <family val="0"/>
      <charset val="1"/>
    </font>
    <font>
      <b val="true"/>
      <sz val="14"/>
      <color rgb="FF001928"/>
      <name val="Arial"/>
      <family val="0"/>
      <charset val="1"/>
    </font>
    <font>
      <sz val="9"/>
      <color rgb="FF646C76"/>
      <name val="Arial"/>
      <family val="0"/>
      <charset val="1"/>
    </font>
    <font>
      <b val="true"/>
      <sz val="10"/>
      <color rgb="FF001928"/>
      <name val="Arial"/>
      <family val="0"/>
      <charset val="1"/>
    </font>
    <font>
      <sz val="10"/>
      <color rgb="FF00192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75BE"/>
      <name val="Arial"/>
      <family val="0"/>
      <charset val="1"/>
    </font>
    <font>
      <sz val="8"/>
      <color rgb="FF646C7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1928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5BE"/>
      <rgbColor rgb="FFDD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88C"/>
      <rgbColor rgb="FF99CC00"/>
      <rgbColor rgb="FFFFCC00"/>
      <rgbColor rgb="FFD99100"/>
      <rgbColor rgb="FFE9425F"/>
      <rgbColor rgb="FF646C76"/>
      <rgbColor rgb="FF969696"/>
      <rgbColor rgb="FF003366"/>
      <rgbColor rgb="FF339966"/>
      <rgbColor rgb="FF0019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5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5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15"/>
    <col collapsed="false" customWidth="true" hidden="false" outlineLevel="0" max="13" min="13" style="0" width="30"/>
    <col collapsed="false" customWidth="true" hidden="false" outlineLevel="0" max="14" min="14" style="0" width="7"/>
    <col collapsed="false" customWidth="true" hidden="false" outlineLevel="0" max="15" min="15" style="0" width="9"/>
    <col collapsed="false" customWidth="true" hidden="false" outlineLevel="0" max="17" min="16" style="0" width="13"/>
    <col collapsed="false" customWidth="true" hidden="false" outlineLevel="0" max="18" min="18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 t="s">
        <v>25</v>
      </c>
      <c r="I2" s="2" t="s">
        <v>26</v>
      </c>
      <c r="J2" s="4" t="s">
        <v>27</v>
      </c>
      <c r="K2" s="4" t="s">
        <v>28</v>
      </c>
      <c r="L2" s="5" t="s">
        <v>29</v>
      </c>
      <c r="M2" s="4" t="s">
        <v>30</v>
      </c>
      <c r="N2" s="2" t="s">
        <v>31</v>
      </c>
      <c r="O2" s="2" t="s">
        <v>26</v>
      </c>
      <c r="P2" s="2" t="s">
        <v>32</v>
      </c>
      <c r="Q2" s="2" t="s">
        <v>26</v>
      </c>
      <c r="R2" s="4" t="s">
        <v>33</v>
      </c>
    </row>
    <row r="3" customFormat="false" ht="15" hidden="false" customHeight="false" outlineLevel="0" collapsed="false">
      <c r="A3" s="2" t="s">
        <v>34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35</v>
      </c>
      <c r="G3" s="2" t="s">
        <v>24</v>
      </c>
      <c r="H3" s="6" t="s">
        <v>36</v>
      </c>
      <c r="I3" s="2" t="s">
        <v>37</v>
      </c>
      <c r="J3" s="4" t="s">
        <v>38</v>
      </c>
      <c r="K3" s="4" t="s">
        <v>39</v>
      </c>
      <c r="L3" s="6" t="s">
        <v>40</v>
      </c>
      <c r="M3" s="4" t="s">
        <v>41</v>
      </c>
      <c r="N3" s="2" t="s">
        <v>42</v>
      </c>
      <c r="O3" s="2" t="s">
        <v>43</v>
      </c>
      <c r="P3" s="2" t="s">
        <v>32</v>
      </c>
      <c r="Q3" s="2" t="s">
        <v>26</v>
      </c>
      <c r="R3" s="4" t="s">
        <v>44</v>
      </c>
    </row>
    <row r="4" customFormat="false" ht="23.85" hidden="false" customHeight="false" outlineLevel="0" collapsed="false">
      <c r="A4" s="2" t="s">
        <v>45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46</v>
      </c>
      <c r="G4" s="2" t="s">
        <v>24</v>
      </c>
      <c r="H4" s="3" t="s">
        <v>25</v>
      </c>
      <c r="I4" s="2" t="s">
        <v>26</v>
      </c>
      <c r="J4" s="4" t="s">
        <v>47</v>
      </c>
      <c r="K4" s="4" t="s">
        <v>48</v>
      </c>
      <c r="L4" s="3" t="s">
        <v>49</v>
      </c>
      <c r="M4" s="4" t="s">
        <v>50</v>
      </c>
      <c r="N4" s="2" t="s">
        <v>51</v>
      </c>
      <c r="O4" s="2" t="s">
        <v>51</v>
      </c>
      <c r="P4" s="2" t="s">
        <v>32</v>
      </c>
      <c r="Q4" s="2" t="s">
        <v>26</v>
      </c>
      <c r="R4" s="4" t="s">
        <v>52</v>
      </c>
    </row>
    <row r="5" customFormat="false" ht="15" hidden="false" customHeight="false" outlineLevel="0" collapsed="false">
      <c r="A5" s="2" t="s">
        <v>53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35</v>
      </c>
      <c r="G5" s="2" t="s">
        <v>54</v>
      </c>
      <c r="H5" s="3" t="s">
        <v>25</v>
      </c>
      <c r="I5" s="2" t="s">
        <v>26</v>
      </c>
      <c r="J5" s="4" t="s">
        <v>47</v>
      </c>
      <c r="K5" s="4" t="s">
        <v>48</v>
      </c>
      <c r="L5" s="3" t="s">
        <v>49</v>
      </c>
      <c r="M5" s="4" t="s">
        <v>30</v>
      </c>
      <c r="N5" s="2" t="s">
        <v>55</v>
      </c>
      <c r="O5" s="2" t="s">
        <v>56</v>
      </c>
      <c r="P5" s="2" t="s">
        <v>32</v>
      </c>
      <c r="Q5" s="2" t="s">
        <v>26</v>
      </c>
      <c r="R5" s="4" t="s">
        <v>57</v>
      </c>
    </row>
    <row r="6" customFormat="false" ht="15" hidden="false" customHeight="false" outlineLevel="0" collapsed="false">
      <c r="A6" s="2" t="s">
        <v>58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35</v>
      </c>
      <c r="G6" s="2" t="s">
        <v>54</v>
      </c>
      <c r="H6" s="3" t="s">
        <v>25</v>
      </c>
      <c r="I6" s="2" t="s">
        <v>26</v>
      </c>
      <c r="J6" s="4" t="s">
        <v>47</v>
      </c>
      <c r="K6" s="4" t="s">
        <v>48</v>
      </c>
      <c r="L6" s="3" t="s">
        <v>49</v>
      </c>
      <c r="M6" s="4" t="s">
        <v>30</v>
      </c>
      <c r="N6" s="2" t="s">
        <v>59</v>
      </c>
      <c r="O6" s="2" t="s">
        <v>60</v>
      </c>
      <c r="P6" s="2" t="s">
        <v>32</v>
      </c>
      <c r="Q6" s="2" t="s">
        <v>26</v>
      </c>
      <c r="R6" s="4" t="s">
        <v>61</v>
      </c>
    </row>
    <row r="7" customFormat="false" ht="15" hidden="false" customHeight="false" outlineLevel="0" collapsed="false">
      <c r="A7" s="2" t="s">
        <v>62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35</v>
      </c>
      <c r="G7" s="2" t="s">
        <v>54</v>
      </c>
      <c r="H7" s="3" t="s">
        <v>25</v>
      </c>
      <c r="I7" s="2" t="s">
        <v>26</v>
      </c>
      <c r="J7" s="4" t="s">
        <v>47</v>
      </c>
      <c r="K7" s="4" t="s">
        <v>48</v>
      </c>
      <c r="L7" s="3" t="s">
        <v>49</v>
      </c>
      <c r="M7" s="4" t="s">
        <v>30</v>
      </c>
      <c r="N7" s="2" t="s">
        <v>63</v>
      </c>
      <c r="O7" s="2" t="s">
        <v>64</v>
      </c>
      <c r="P7" s="2" t="s">
        <v>32</v>
      </c>
      <c r="Q7" s="2" t="s">
        <v>26</v>
      </c>
      <c r="R7" s="4" t="s">
        <v>65</v>
      </c>
    </row>
    <row r="8" customFormat="false" ht="15" hidden="false" customHeight="false" outlineLevel="0" collapsed="false">
      <c r="A8" s="2" t="s">
        <v>66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35</v>
      </c>
      <c r="G8" s="2" t="s">
        <v>54</v>
      </c>
      <c r="H8" s="3" t="s">
        <v>25</v>
      </c>
      <c r="I8" s="2" t="s">
        <v>26</v>
      </c>
      <c r="J8" s="4" t="s">
        <v>47</v>
      </c>
      <c r="K8" s="4" t="s">
        <v>48</v>
      </c>
      <c r="L8" s="3" t="s">
        <v>49</v>
      </c>
      <c r="M8" s="4" t="s">
        <v>30</v>
      </c>
      <c r="N8" s="2" t="s">
        <v>67</v>
      </c>
      <c r="O8" s="2" t="s">
        <v>68</v>
      </c>
      <c r="P8" s="2" t="s">
        <v>32</v>
      </c>
      <c r="Q8" s="2" t="s">
        <v>26</v>
      </c>
      <c r="R8" s="4" t="s">
        <v>69</v>
      </c>
    </row>
    <row r="9" customFormat="false" ht="23.85" hidden="false" customHeight="false" outlineLevel="0" collapsed="false">
      <c r="A9" s="2" t="s">
        <v>70</v>
      </c>
      <c r="B9" s="2" t="s">
        <v>71</v>
      </c>
      <c r="C9" s="2" t="s">
        <v>20</v>
      </c>
      <c r="D9" s="2" t="s">
        <v>21</v>
      </c>
      <c r="E9" s="2" t="s">
        <v>72</v>
      </c>
      <c r="F9" s="2" t="s">
        <v>73</v>
      </c>
      <c r="G9" s="2" t="s">
        <v>26</v>
      </c>
      <c r="H9" s="5" t="s">
        <v>74</v>
      </c>
      <c r="I9" s="2" t="s">
        <v>75</v>
      </c>
      <c r="J9" s="4" t="s">
        <v>76</v>
      </c>
      <c r="K9" s="4" t="s">
        <v>77</v>
      </c>
      <c r="L9" s="3" t="s">
        <v>78</v>
      </c>
      <c r="M9" s="4" t="s">
        <v>30</v>
      </c>
      <c r="N9" s="2" t="s">
        <v>26</v>
      </c>
      <c r="O9" s="2" t="s">
        <v>26</v>
      </c>
      <c r="P9" s="2" t="s">
        <v>79</v>
      </c>
      <c r="Q9" s="2" t="s">
        <v>80</v>
      </c>
      <c r="R9" s="4" t="s">
        <v>81</v>
      </c>
    </row>
    <row r="10" customFormat="false" ht="23.85" hidden="false" customHeight="false" outlineLevel="0" collapsed="false">
      <c r="A10" s="2" t="s">
        <v>82</v>
      </c>
      <c r="B10" s="2" t="s">
        <v>83</v>
      </c>
      <c r="C10" s="2" t="s">
        <v>20</v>
      </c>
      <c r="D10" s="2" t="s">
        <v>21</v>
      </c>
      <c r="E10" s="2" t="s">
        <v>72</v>
      </c>
      <c r="F10" s="2" t="s">
        <v>73</v>
      </c>
      <c r="G10" s="2" t="s">
        <v>26</v>
      </c>
      <c r="H10" s="6" t="s">
        <v>36</v>
      </c>
      <c r="I10" s="2" t="s">
        <v>84</v>
      </c>
      <c r="J10" s="4" t="s">
        <v>85</v>
      </c>
      <c r="K10" s="4" t="s">
        <v>86</v>
      </c>
      <c r="L10" s="6" t="s">
        <v>40</v>
      </c>
      <c r="M10" s="4" t="s">
        <v>30</v>
      </c>
      <c r="N10" s="2" t="s">
        <v>26</v>
      </c>
      <c r="O10" s="2" t="s">
        <v>26</v>
      </c>
      <c r="P10" s="2" t="s">
        <v>79</v>
      </c>
      <c r="Q10" s="2" t="s">
        <v>87</v>
      </c>
      <c r="R10" s="4" t="s">
        <v>88</v>
      </c>
    </row>
    <row r="11" customFormat="false" ht="23.85" hidden="false" customHeight="false" outlineLevel="0" collapsed="false">
      <c r="A11" s="2" t="s">
        <v>89</v>
      </c>
      <c r="B11" s="2" t="s">
        <v>90</v>
      </c>
      <c r="C11" s="2" t="s">
        <v>20</v>
      </c>
      <c r="D11" s="2" t="s">
        <v>21</v>
      </c>
      <c r="E11" s="2" t="s">
        <v>72</v>
      </c>
      <c r="F11" s="2" t="s">
        <v>73</v>
      </c>
      <c r="G11" s="2" t="s">
        <v>26</v>
      </c>
      <c r="H11" s="3" t="s">
        <v>25</v>
      </c>
      <c r="I11" s="2" t="s">
        <v>26</v>
      </c>
      <c r="J11" s="4" t="s">
        <v>76</v>
      </c>
      <c r="K11" s="4" t="s">
        <v>86</v>
      </c>
      <c r="L11" s="3" t="s">
        <v>49</v>
      </c>
      <c r="M11" s="4" t="s">
        <v>30</v>
      </c>
      <c r="N11" s="2" t="s">
        <v>26</v>
      </c>
      <c r="O11" s="2" t="s">
        <v>26</v>
      </c>
      <c r="P11" s="2" t="s">
        <v>79</v>
      </c>
      <c r="Q11" s="2" t="s">
        <v>91</v>
      </c>
      <c r="R11" s="4" t="s">
        <v>92</v>
      </c>
    </row>
    <row r="12" customFormat="false" ht="35.05" hidden="false" customHeight="false" outlineLevel="0" collapsed="false">
      <c r="A12" s="2" t="s">
        <v>93</v>
      </c>
      <c r="B12" s="2" t="s">
        <v>94</v>
      </c>
      <c r="C12" s="2" t="s">
        <v>20</v>
      </c>
      <c r="D12" s="2" t="s">
        <v>21</v>
      </c>
      <c r="E12" s="2" t="s">
        <v>72</v>
      </c>
      <c r="F12" s="2" t="s">
        <v>73</v>
      </c>
      <c r="G12" s="2" t="s">
        <v>26</v>
      </c>
      <c r="H12" s="3" t="s">
        <v>25</v>
      </c>
      <c r="I12" s="2" t="s">
        <v>26</v>
      </c>
      <c r="J12" s="4" t="s">
        <v>76</v>
      </c>
      <c r="K12" s="4" t="s">
        <v>95</v>
      </c>
      <c r="L12" s="3" t="s">
        <v>49</v>
      </c>
      <c r="M12" s="4" t="s">
        <v>30</v>
      </c>
      <c r="N12" s="2" t="s">
        <v>26</v>
      </c>
      <c r="O12" s="2" t="s">
        <v>26</v>
      </c>
      <c r="P12" s="2" t="s">
        <v>79</v>
      </c>
      <c r="Q12" s="2" t="s">
        <v>91</v>
      </c>
      <c r="R12" s="4" t="s">
        <v>96</v>
      </c>
    </row>
    <row r="13" customFormat="false" ht="35.05" hidden="false" customHeight="false" outlineLevel="0" collapsed="false">
      <c r="A13" s="2" t="s">
        <v>97</v>
      </c>
      <c r="B13" s="2" t="s">
        <v>98</v>
      </c>
      <c r="C13" s="2" t="s">
        <v>20</v>
      </c>
      <c r="D13" s="2" t="s">
        <v>21</v>
      </c>
      <c r="E13" s="2" t="s">
        <v>72</v>
      </c>
      <c r="F13" s="2" t="s">
        <v>73</v>
      </c>
      <c r="G13" s="2" t="s">
        <v>26</v>
      </c>
      <c r="H13" s="5" t="s">
        <v>74</v>
      </c>
      <c r="I13" s="2" t="s">
        <v>75</v>
      </c>
      <c r="J13" s="4" t="s">
        <v>76</v>
      </c>
      <c r="K13" s="4" t="s">
        <v>77</v>
      </c>
      <c r="L13" s="3" t="s">
        <v>78</v>
      </c>
      <c r="M13" s="4" t="s">
        <v>30</v>
      </c>
      <c r="N13" s="2" t="s">
        <v>26</v>
      </c>
      <c r="O13" s="2" t="s">
        <v>26</v>
      </c>
      <c r="P13" s="2" t="s">
        <v>79</v>
      </c>
      <c r="Q13" s="2" t="s">
        <v>80</v>
      </c>
      <c r="R13" s="4" t="s">
        <v>99</v>
      </c>
    </row>
    <row r="14" customFormat="false" ht="23.85" hidden="false" customHeight="false" outlineLevel="0" collapsed="false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72</v>
      </c>
      <c r="F14" s="2" t="s">
        <v>73</v>
      </c>
      <c r="G14" s="2" t="s">
        <v>26</v>
      </c>
      <c r="H14" s="5" t="s">
        <v>74</v>
      </c>
      <c r="I14" s="2" t="s">
        <v>104</v>
      </c>
      <c r="J14" s="4" t="s">
        <v>105</v>
      </c>
      <c r="K14" s="4" t="s">
        <v>77</v>
      </c>
      <c r="L14" s="3" t="s">
        <v>78</v>
      </c>
      <c r="M14" s="4" t="s">
        <v>30</v>
      </c>
      <c r="N14" s="2" t="s">
        <v>26</v>
      </c>
      <c r="O14" s="2" t="s">
        <v>26</v>
      </c>
      <c r="P14" s="2" t="s">
        <v>106</v>
      </c>
      <c r="Q14" s="2" t="s">
        <v>107</v>
      </c>
      <c r="R14" s="4" t="s">
        <v>108</v>
      </c>
    </row>
    <row r="15" customFormat="false" ht="23.85" hidden="false" customHeight="false" outlineLevel="0" collapsed="false">
      <c r="A15" s="2" t="s">
        <v>109</v>
      </c>
      <c r="B15" s="2" t="s">
        <v>110</v>
      </c>
      <c r="C15" s="2" t="s">
        <v>102</v>
      </c>
      <c r="D15" s="2" t="s">
        <v>103</v>
      </c>
      <c r="E15" s="2" t="s">
        <v>72</v>
      </c>
      <c r="F15" s="2" t="s">
        <v>73</v>
      </c>
      <c r="G15" s="2" t="s">
        <v>26</v>
      </c>
      <c r="H15" s="6" t="s">
        <v>36</v>
      </c>
      <c r="I15" s="2" t="s">
        <v>84</v>
      </c>
      <c r="J15" s="4" t="s">
        <v>111</v>
      </c>
      <c r="K15" s="4" t="s">
        <v>86</v>
      </c>
      <c r="L15" s="6" t="s">
        <v>40</v>
      </c>
      <c r="M15" s="4" t="s">
        <v>30</v>
      </c>
      <c r="N15" s="2" t="s">
        <v>26</v>
      </c>
      <c r="O15" s="2" t="s">
        <v>26</v>
      </c>
      <c r="P15" s="2" t="s">
        <v>106</v>
      </c>
      <c r="Q15" s="2" t="s">
        <v>112</v>
      </c>
      <c r="R15" s="4" t="s">
        <v>113</v>
      </c>
    </row>
    <row r="16" customFormat="false" ht="23.85" hidden="false" customHeight="false" outlineLevel="0" collapsed="false">
      <c r="A16" s="2" t="s">
        <v>114</v>
      </c>
      <c r="B16" s="2" t="s">
        <v>115</v>
      </c>
      <c r="C16" s="2" t="s">
        <v>102</v>
      </c>
      <c r="D16" s="2" t="s">
        <v>103</v>
      </c>
      <c r="E16" s="2" t="s">
        <v>72</v>
      </c>
      <c r="F16" s="2" t="s">
        <v>73</v>
      </c>
      <c r="G16" s="2" t="s">
        <v>26</v>
      </c>
      <c r="H16" s="3" t="s">
        <v>25</v>
      </c>
      <c r="I16" s="2" t="s">
        <v>26</v>
      </c>
      <c r="J16" s="4" t="s">
        <v>116</v>
      </c>
      <c r="K16" s="4" t="s">
        <v>86</v>
      </c>
      <c r="L16" s="3" t="s">
        <v>49</v>
      </c>
      <c r="M16" s="4" t="s">
        <v>30</v>
      </c>
      <c r="N16" s="2" t="s">
        <v>26</v>
      </c>
      <c r="O16" s="2" t="s">
        <v>26</v>
      </c>
      <c r="P16" s="2" t="s">
        <v>106</v>
      </c>
      <c r="Q16" s="2" t="s">
        <v>117</v>
      </c>
      <c r="R16" s="4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6" min="4" style="0" width="10"/>
  </cols>
  <sheetData>
    <row r="1" customFormat="false" ht="17.35" hidden="false" customHeight="false" outlineLevel="0" collapsed="false">
      <c r="A1" s="7" t="s">
        <v>119</v>
      </c>
    </row>
    <row r="2" customFormat="false" ht="22.35" hidden="false" customHeight="true" outlineLevel="0" collapsed="false">
      <c r="A2" s="8" t="s">
        <v>120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121</v>
      </c>
      <c r="C4" s="9" t="s">
        <v>122</v>
      </c>
    </row>
    <row r="5" customFormat="false" ht="15" hidden="false" customHeight="false" outlineLevel="0" collapsed="false">
      <c r="A5" s="10" t="s">
        <v>25</v>
      </c>
      <c r="B5" s="11" t="n">
        <f aca="false">COUNTIF(Runs!H:H,"PASS")</f>
        <v>9</v>
      </c>
      <c r="C5" s="10" t="s">
        <v>49</v>
      </c>
      <c r="D5" s="11" t="n">
        <f aca="false">COUNTIF(Runs!L:L,"good_pass")</f>
        <v>8</v>
      </c>
    </row>
    <row r="6" customFormat="false" ht="15" hidden="false" customHeight="false" outlineLevel="0" collapsed="false">
      <c r="A6" s="10" t="s">
        <v>74</v>
      </c>
      <c r="B6" s="11" t="n">
        <f aca="false">COUNTIF(Runs!H:H,"FAIL")</f>
        <v>3</v>
      </c>
      <c r="C6" s="10" t="s">
        <v>78</v>
      </c>
      <c r="D6" s="11" t="n">
        <f aca="false">COUNTIF(Runs!L:L,"good_catch")</f>
        <v>3</v>
      </c>
    </row>
    <row r="7" customFormat="false" ht="15" hidden="false" customHeight="false" outlineLevel="0" collapsed="false">
      <c r="A7" s="10" t="s">
        <v>36</v>
      </c>
      <c r="B7" s="11" t="n">
        <f aca="false">COUNTIF(Runs!H:H,"NEEDS_HUMAN")</f>
        <v>3</v>
      </c>
      <c r="C7" s="10" t="s">
        <v>40</v>
      </c>
      <c r="D7" s="11" t="n">
        <f aca="false">COUNTIF(Runs!L:L,"escalated")</f>
        <v>3</v>
      </c>
    </row>
    <row r="8" customFormat="false" ht="15" hidden="false" customHeight="false" outlineLevel="0" collapsed="false">
      <c r="A8" s="10" t="s">
        <v>123</v>
      </c>
      <c r="B8" s="11" t="n">
        <f aca="false">COUNTA(Runs!A:A)-1</f>
        <v>15</v>
      </c>
      <c r="C8" s="10" t="s">
        <v>29</v>
      </c>
      <c r="D8" s="11" t="n">
        <f aca="false">COUNTIF(Runs!L:L,"FALSE_RELEASE")</f>
        <v>1</v>
      </c>
    </row>
    <row r="9" customFormat="false" ht="15" hidden="false" customHeight="false" outlineLevel="0" collapsed="false">
      <c r="C9" s="10" t="s">
        <v>124</v>
      </c>
      <c r="D9" s="11" t="n">
        <f aca="false">COUNTIF(Runs!L:L,"FALSE_BLOCK")</f>
        <v>0</v>
      </c>
    </row>
    <row r="10" customFormat="false" ht="15" hidden="false" customHeight="false" outlineLevel="0" collapsed="false">
      <c r="C10" s="10" t="s">
        <v>125</v>
      </c>
      <c r="D10" s="11" t="n">
        <f aca="false">COUNTIF(Runs!L:L,"-")</f>
        <v>0</v>
      </c>
    </row>
    <row r="12" customFormat="false" ht="15" hidden="false" customHeight="false" outlineLevel="0" collapsed="false">
      <c r="A12" s="9" t="s">
        <v>126</v>
      </c>
    </row>
    <row r="13" customFormat="false" ht="15" hidden="false" customHeight="false" outlineLevel="0" collapsed="false">
      <c r="A13" s="10" t="s">
        <v>127</v>
      </c>
      <c r="B13" s="12" t="n">
        <f aca="false">B7/B8</f>
        <v>0.2</v>
      </c>
    </row>
    <row r="14" customFormat="false" ht="15" hidden="false" customHeight="false" outlineLevel="0" collapsed="false">
      <c r="A14" s="10" t="s">
        <v>128</v>
      </c>
      <c r="B14" s="12" t="n">
        <f aca="false">D8/(B8-D10)</f>
        <v>0.0666666666666667</v>
      </c>
    </row>
    <row r="16" customFormat="false" ht="15" hidden="false" customHeight="true" outlineLevel="0" collapsed="false">
      <c r="A16" s="13" t="s">
        <v>129</v>
      </c>
      <c r="B16" s="13"/>
      <c r="C16" s="13"/>
      <c r="D16" s="13"/>
      <c r="E16" s="13"/>
    </row>
    <row r="17" customFormat="false" ht="15" hidden="false" customHeight="false" outlineLevel="0" collapsed="false">
      <c r="A17" s="9" t="s">
        <v>130</v>
      </c>
      <c r="B17" s="9" t="s">
        <v>131</v>
      </c>
      <c r="C17" s="9" t="s">
        <v>132</v>
      </c>
      <c r="D17" s="9" t="s">
        <v>133</v>
      </c>
      <c r="E17" s="9" t="s">
        <v>134</v>
      </c>
      <c r="F17" s="9" t="s">
        <v>135</v>
      </c>
    </row>
    <row r="18" customFormat="false" ht="15" hidden="false" customHeight="false" outlineLevel="0" collapsed="false">
      <c r="A18" s="14" t="s">
        <v>136</v>
      </c>
      <c r="B18" s="14" t="s">
        <v>137</v>
      </c>
      <c r="C18" s="14" t="s">
        <v>138</v>
      </c>
      <c r="D18" s="14" t="s">
        <v>139</v>
      </c>
      <c r="E18" s="14" t="s">
        <v>140</v>
      </c>
      <c r="F18" s="14" t="s">
        <v>141</v>
      </c>
    </row>
    <row r="19" customFormat="false" ht="19.4" hidden="false" customHeight="true" outlineLevel="0" collapsed="false">
      <c r="A19" s="15" t="s">
        <v>142</v>
      </c>
      <c r="B19" s="15"/>
      <c r="C19" s="15"/>
      <c r="D19" s="15"/>
      <c r="E19" s="15"/>
      <c r="F19" s="15"/>
    </row>
    <row r="21" customFormat="false" ht="15" hidden="false" customHeight="false" outlineLevel="0" collapsed="false">
      <c r="A21" s="9" t="s">
        <v>143</v>
      </c>
    </row>
    <row r="22" customFormat="false" ht="15" hidden="false" customHeight="false" outlineLevel="0" collapsed="false">
      <c r="A22" s="16" t="s">
        <v>144</v>
      </c>
      <c r="B22" s="16"/>
      <c r="C22" s="16"/>
      <c r="D22" s="16"/>
      <c r="E22" s="16"/>
      <c r="F22" s="16"/>
    </row>
    <row r="23" customFormat="false" ht="15" hidden="false" customHeight="false" outlineLevel="0" collapsed="false">
      <c r="A23" s="16" t="s">
        <v>145</v>
      </c>
      <c r="B23" s="16"/>
      <c r="C23" s="16"/>
      <c r="D23" s="16"/>
      <c r="E23" s="16"/>
      <c r="F23" s="16"/>
    </row>
    <row r="24" customFormat="false" ht="15" hidden="false" customHeight="false" outlineLevel="0" collapsed="false">
      <c r="A24" s="16" t="s">
        <v>146</v>
      </c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16" t="s">
        <v>147</v>
      </c>
      <c r="B25" s="16"/>
      <c r="C25" s="16"/>
      <c r="D25" s="16"/>
      <c r="E25" s="16"/>
      <c r="F25" s="16"/>
    </row>
    <row r="27" customFormat="false" ht="15" hidden="false" customHeight="false" outlineLevel="0" collapsed="false">
      <c r="A27" s="9" t="s">
        <v>148</v>
      </c>
    </row>
    <row r="28" customFormat="false" ht="19.4" hidden="false" customHeight="true" outlineLevel="0" collapsed="false">
      <c r="A28" s="15" t="s">
        <v>149</v>
      </c>
      <c r="B28" s="15"/>
      <c r="C28" s="15"/>
      <c r="D28" s="15"/>
      <c r="E28" s="15"/>
      <c r="F28" s="15"/>
    </row>
  </sheetData>
  <mergeCells count="8">
    <mergeCell ref="A2:F2"/>
    <mergeCell ref="A16:E16"/>
    <mergeCell ref="A19:F19"/>
    <mergeCell ref="A22:F22"/>
    <mergeCell ref="A23:F23"/>
    <mergeCell ref="A24:F24"/>
    <mergeCell ref="A25:F25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2026-08-27T16:26:21Z</dcterms:created>
  <dc:creator>openpyxl</dc:creator>
  <dc:description/>
  <dc:language>en-CA</dc:language>
  <cp:lastModifiedBy/>
  <dcterms:modified xsi:type="dcterms:W3CDTF">2026-08-27T16:26:21Z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