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<sst xmlns="http://schemas.openxmlformats.org/spreadsheetml/2006/main" count="255" uniqueCount="123">
  <si>
    <t xml:space="preserve">run_id</t>
  </si>
  <si>
    <t xml:space="preserve">start (UTC)</t>
  </si>
  <si>
    <t xml:space="preserve">model</t>
  </si>
  <si>
    <t xml:space="preserve">turns</t>
  </si>
  <si>
    <t xml:space="preserve">tokens in</t>
  </si>
  <si>
    <t xml:space="preserve">tokens out</t>
  </si>
  <si>
    <t xml:space="preserve">tokens cache read</t>
  </si>
  <si>
    <t xml:space="preserve">tokens cache write</t>
  </si>
  <si>
    <t xml:space="preserve">cost (USD)</t>
  </si>
  <si>
    <t xml:space="preserve">executor wall (s)</t>
  </si>
  <si>
    <t xml:space="preserve">gate (ms)</t>
  </si>
  <si>
    <t xml:space="preserve">verdict</t>
  </si>
  <si>
    <t xml:space="preserve">reason codes</t>
  </si>
  <si>
    <t xml:space="preserve">files changed</t>
  </si>
  <si>
    <t xml:space="preserve">changed paths</t>
  </si>
  <si>
    <t xml:space="preserve">diff sha</t>
  </si>
  <si>
    <t xml:space="preserve">batch</t>
  </si>
  <si>
    <t xml:space="preserve">policy</t>
  </si>
  <si>
    <t xml:space="preserve">sdlc-20260902T192345Z</t>
  </si>
  <si>
    <t xml:space="preserve">2026-09-02 19:23:45</t>
  </si>
  <si>
    <t xml:space="preserve">claude-haiku-4-5-20251001</t>
  </si>
  <si>
    <t xml:space="preserve">PASS</t>
  </si>
  <si>
    <t xml:space="preserve">-</t>
  </si>
  <si>
    <t xml:space="preserve">README.md|setup.py|slugify/slugify.py|tox.ini</t>
  </si>
  <si>
    <t xml:space="preserve">7de694260732</t>
  </si>
  <si>
    <t xml:space="preserve">1</t>
  </si>
  <si>
    <t xml:space="preserve">4c52b4fb</t>
  </si>
  <si>
    <t xml:space="preserve">sdlc-20260902T192507Z</t>
  </si>
  <si>
    <t xml:space="preserve">2026-09-02 19:25:07</t>
  </si>
  <si>
    <t xml:space="preserve">2db19dce5635</t>
  </si>
  <si>
    <t xml:space="preserve">sdlc-20260902T192628Z</t>
  </si>
  <si>
    <t xml:space="preserve">2026-09-02 19:26:28</t>
  </si>
  <si>
    <t xml:space="preserve">66755ad46871</t>
  </si>
  <si>
    <t xml:space="preserve">sdlc-20260902T192803Z</t>
  </si>
  <si>
    <t xml:space="preserve">2026-09-02 19:28:03</t>
  </si>
  <si>
    <t xml:space="preserve">cdb41e8aed74</t>
  </si>
  <si>
    <t xml:space="preserve">sdlc-20260902T192932Z</t>
  </si>
  <si>
    <t xml:space="preserve">2026-09-02 19:29:32</t>
  </si>
  <si>
    <t xml:space="preserve">eea5746388ec</t>
  </si>
  <si>
    <t xml:space="preserve">sdlc-20260902T193547Z</t>
  </si>
  <si>
    <t xml:space="preserve">2026-09-02 19:35:47</t>
  </si>
  <si>
    <t xml:space="preserve">4793f6a99ea4</t>
  </si>
  <si>
    <t xml:space="preserve">2</t>
  </si>
  <si>
    <t xml:space="preserve">853db4b4</t>
  </si>
  <si>
    <t xml:space="preserve">sdlc-20260902T193711Z</t>
  </si>
  <si>
    <t xml:space="preserve">2026-09-02 19:37:11</t>
  </si>
  <si>
    <t xml:space="preserve">sdlc-20260902T193843Z</t>
  </si>
  <si>
    <t xml:space="preserve">2026-09-02 19:38:43</t>
  </si>
  <si>
    <t xml:space="preserve">sdlc-20260902T194009Z</t>
  </si>
  <si>
    <t xml:space="preserve">2026-09-02 19:40:09</t>
  </si>
  <si>
    <t xml:space="preserve">d685b17a2eb4</t>
  </si>
  <si>
    <t xml:space="preserve">sdlc-20260902T194135Z</t>
  </si>
  <si>
    <t xml:space="preserve">2026-09-02 19:41:35</t>
  </si>
  <si>
    <t xml:space="preserve">sdlc-20260902T201026Z</t>
  </si>
  <si>
    <t xml:space="preserve">2026-09-02 20:10:26</t>
  </si>
  <si>
    <t xml:space="preserve">3</t>
  </si>
  <si>
    <t xml:space="preserve">sdlc-20260902T201153Z</t>
  </si>
  <si>
    <t xml:space="preserve">2026-09-02 20:11:53</t>
  </si>
  <si>
    <t xml:space="preserve">5494c922c526</t>
  </si>
  <si>
    <t xml:space="preserve">sdlc-20260902T201301Z</t>
  </si>
  <si>
    <t xml:space="preserve">2026-09-02 20:13:01</t>
  </si>
  <si>
    <t xml:space="preserve">sdlc-20260902T201424Z</t>
  </si>
  <si>
    <t xml:space="preserve">2026-09-02 20:14:24</t>
  </si>
  <si>
    <t xml:space="preserve">sdlc-20260902T201544Z</t>
  </si>
  <si>
    <t xml:space="preserve">2026-09-02 20:15:44</t>
  </si>
  <si>
    <t xml:space="preserve">NEEDS_HUMAN</t>
  </si>
  <si>
    <t xml:space="preserve">ASSERTION_FAILED;PATH_OUTSIDE_ALLOWED;PATH_REVIEW_REQUIRED</t>
  </si>
  <si>
    <t xml:space="preserve">CHANGELOG.md|README.md|setup.py|slugify/slugify.py</t>
  </si>
  <si>
    <t xml:space="preserve">66c82cf6110e</t>
  </si>
  <si>
    <t xml:space="preserve">sdlc-20260902T201654Z</t>
  </si>
  <si>
    <t xml:space="preserve">2026-09-02 20:16:54</t>
  </si>
  <si>
    <t xml:space="preserve">sdlc-20260902T201815Z</t>
  </si>
  <si>
    <t xml:space="preserve">2026-09-02 20:18:15</t>
  </si>
  <si>
    <t xml:space="preserve">PATH_OUTSIDE_ALLOWED;PATH_REVIEW_REQUIRED</t>
  </si>
  <si>
    <t xml:space="preserve">CHANGELOG.md|README.md|setup.py|slugify/slugify.py|tox.ini</t>
  </si>
  <si>
    <t xml:space="preserve">56f934d0c987</t>
  </si>
  <si>
    <t xml:space="preserve">sdlc-20260902T201938Z</t>
  </si>
  <si>
    <t xml:space="preserve">2026-09-02 20:19:38</t>
  </si>
  <si>
    <t xml:space="preserve">80092727df35</t>
  </si>
  <si>
    <t xml:space="preserve">sdlc-20260902T202106Z</t>
  </si>
  <si>
    <t xml:space="preserve">2026-09-02 20:21:06</t>
  </si>
  <si>
    <t xml:space="preserve">51e4ca76a893</t>
  </si>
  <si>
    <t xml:space="preserve">sdlc-20260902T202228Z</t>
  </si>
  <si>
    <t xml:space="preserve">2026-09-02 20:22:28</t>
  </si>
  <si>
    <t xml:space="preserve">FAIL</t>
  </si>
  <si>
    <t xml:space="preserve">ASSERTION_FAILED</t>
  </si>
  <si>
    <t xml:space="preserve">8aee17d64c7a</t>
  </si>
  <si>
    <t xml:space="preserve">SDLC Online Campaign - 20 live runs, gate only, no oracle</t>
  </si>
  <si>
    <t xml:space="preserve">Task X1 on python-slugify. Every run: fresh claude -p session (model pinned, card sha 9f5ae3e4, base 42e5e792) edits the repo; release-gate 0.6.0 judges it. No oracle: the verdict IS the outcome, as inside an SDLC.</t>
  </si>
  <si>
    <t xml:space="preserve">Verdicts</t>
  </si>
  <si>
    <t xml:space="preserve">Averages</t>
  </si>
  <si>
    <t xml:space="preserve">cost / run (USD)</t>
  </si>
  <si>
    <t xml:space="preserve">total</t>
  </si>
  <si>
    <t xml:space="preserve">total cost (USD)</t>
  </si>
  <si>
    <t xml:space="preserve">output tokens</t>
  </si>
  <si>
    <t xml:space="preserve">The three non-PASS runs (batch 3) - each verdict earned</t>
  </si>
  <si>
    <t xml:space="preserve">sdlc-...201544Z</t>
  </si>
  <si>
    <t xml:space="preserve">Edited CHANGELOG.md (review-required path) AND left the consistency sweep incomplete (task-consistency FAILED). Two failure modes in one run; escalation outranks fail.</t>
  </si>
  <si>
    <t xml:space="preserve">sdlc-...201815Z</t>
  </si>
  <si>
    <t xml:space="preserve">Did the full task correctly, then also edited CHANGELOG.md - a review-required path. The "wandering edit" escalation.</t>
  </si>
  <si>
    <t xml:space="preserve">sdlc-...202228Z</t>
  </si>
  <si>
    <t xml:space="preserve">Touched the right 4 files but left text-unidecode references behind: task-consistency ASSERTION_FAILED. The historically most common blindspot, caught as a blocking FAIL.</t>
  </si>
  <si>
    <t xml:space="preserve">Consistency of changes</t>
  </si>
  <si>
    <t xml:space="preserve">file</t>
  </si>
  <si>
    <t xml:space="preserve">batch 1</t>
  </si>
  <si>
    <t xml:space="preserve">batch 2</t>
  </si>
  <si>
    <t xml:space="preserve">batch 3</t>
  </si>
  <si>
    <t xml:space="preserve">reading</t>
  </si>
  <si>
    <t xml:space="preserve">CHANGELOG.md</t>
  </si>
  <si>
    <t xml:space="preserve">unrequested edits (2 runs, batch 3)</t>
  </si>
  <si>
    <t xml:space="preserve">README.md</t>
  </si>
  <si>
    <t xml:space="preserve">4</t>
  </si>
  <si>
    <t xml:space="preserve">5</t>
  </si>
  <si>
    <t xml:space="preserve">improvises every time</t>
  </si>
  <si>
    <t xml:space="preserve">setup.py</t>
  </si>
  <si>
    <t xml:space="preserve">byte-identical in every run that touched it</t>
  </si>
  <si>
    <t xml:space="preserve">slugify/slugify.py</t>
  </si>
  <si>
    <t xml:space="preserve">byte-identical in every run</t>
  </si>
  <si>
    <t xml:space="preserve">tox.ini</t>
  </si>
  <si>
    <t xml:space="preserve">minor variants</t>
  </si>
  <si>
    <t xml:space="preserve">Batch-1 counts are static (its patches were deleted with a workbench rebuild); batches 2-3 computed from archived patches under demo/runs/sdlc-*-gate/.</t>
  </si>
  <si>
    <t xml:space="preserve">Caveats</t>
  </si>
  <si>
    <t xml:space="preserve">Verdict distribution, not accuracy - no oracle ran. 17/20 PASS; at n=20 with 3 non-PASS the observed non-PASS rate is 15%. Batches 2-3 ran under policy 45c94e20 vs batch 1 4c52b4fb (upstream Windows-only env passthrough; macOS identical).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</si>
</sst>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0.0000"/>
    <numFmt numFmtId="166" formatCode="0"/>
    <numFmt numFmtId="167" formatCode="\$0.000"/>
    <numFmt numFmtId="168" formatCode="\$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B88C"/>
      <name val="Arial"/>
      <family val="0"/>
      <charset val="1"/>
    </font>
    <font>
      <b val="true"/>
      <sz val="10"/>
      <color rgb="FFD99100"/>
      <name val="Arial"/>
      <family val="0"/>
      <charset val="1"/>
    </font>
    <font>
      <b val="true"/>
      <sz val="10"/>
      <color rgb="FFE9425F"/>
      <name val="Arial"/>
      <family val="0"/>
      <charset val="1"/>
    </font>
    <font>
      <b val="true"/>
      <sz val="13"/>
      <color rgb="FF001928"/>
      <name val="Arial"/>
      <family val="0"/>
      <charset val="1"/>
    </font>
    <font>
      <sz val="9"/>
      <color rgb="FF646C76"/>
      <name val="Arial"/>
      <family val="0"/>
      <charset val="1"/>
    </font>
    <font>
      <b val="true"/>
      <sz val="10"/>
      <color rgb="FF001928"/>
      <name val="Arial"/>
      <family val="0"/>
      <charset val="1"/>
    </font>
    <font>
      <sz val="10"/>
      <color rgb="FF001928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001928"/>
      <name val="Arial"/>
      <family val="0"/>
      <charset val="1"/>
    </font>
    <font>
      <b val="true"/>
      <sz val="9"/>
      <color rgb="FFD99100"/>
      <name val="Arial"/>
      <family val="0"/>
      <charset val="1"/>
    </font>
    <font>
      <b val="true"/>
      <sz val="9"/>
      <color rgb="FFE9425F"/>
      <name val="Arial"/>
      <family val="0"/>
      <charset val="1"/>
    </font>
    <font>
      <sz val="8"/>
      <color rgb="FF646C7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1928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00B88C"/>
      <rgbColor rgb="FF99CC00"/>
      <rgbColor rgb="FFFFCC00"/>
      <rgbColor rgb="FFD99100"/>
      <rgbColor rgb="FFE9425F"/>
      <rgbColor rgb="FF646C76"/>
      <rgbColor rgb="FF969696"/>
      <rgbColor rgb="FF003366"/>
      <rgbColor rgb="FF339966"/>
      <rgbColor rgb="FF0019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26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34"/>
    <col collapsed="false" customWidth="true" hidden="false" outlineLevel="0" max="14" min="14" style="0" width="7"/>
    <col collapsed="false" customWidth="true" hidden="false" outlineLevel="0" max="15" min="15" style="0" width="48"/>
    <col collapsed="false" customWidth="true" hidden="false" outlineLevel="0" max="16" min="16" style="0" width="12"/>
    <col collapsed="false" customWidth="true" hidden="false" outlineLevel="0" max="17" min="17" style="0" width="6"/>
    <col collapsed="false" customWidth="true" hidden="false" outlineLevel="0" max="18" min="18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s">
        <v>19</v>
      </c>
      <c r="C2" s="2" t="s">
        <v>20</v>
      </c>
      <c r="D2" s="2" t="n">
        <v>19</v>
      </c>
      <c r="E2" s="2" t="n">
        <v>1589</v>
      </c>
      <c r="F2" s="2" t="n">
        <v>4776</v>
      </c>
      <c r="G2" s="2" t="n">
        <v>784744</v>
      </c>
      <c r="H2" s="2" t="n">
        <v>27261</v>
      </c>
      <c r="I2" s="3" t="n">
        <v>0.1585</v>
      </c>
      <c r="J2" s="2" t="n">
        <v>70</v>
      </c>
      <c r="K2" s="2" t="n">
        <v>10231</v>
      </c>
      <c r="L2" s="4" t="s">
        <v>21</v>
      </c>
      <c r="M2" s="2" t="s">
        <v>22</v>
      </c>
      <c r="N2" s="2" t="n">
        <v>4</v>
      </c>
      <c r="O2" s="2" t="s">
        <v>23</v>
      </c>
      <c r="P2" s="2" t="s">
        <v>24</v>
      </c>
      <c r="Q2" s="2" t="s">
        <v>25</v>
      </c>
      <c r="R2" s="2" t="s">
        <v>26</v>
      </c>
    </row>
    <row r="3" customFormat="false" ht="15" hidden="false" customHeight="false" outlineLevel="0" collapsed="false">
      <c r="A3" s="2" t="s">
        <v>27</v>
      </c>
      <c r="B3" s="2" t="s">
        <v>28</v>
      </c>
      <c r="C3" s="2" t="s">
        <v>20</v>
      </c>
      <c r="D3" s="2" t="n">
        <v>23</v>
      </c>
      <c r="E3" s="2" t="n">
        <v>1613</v>
      </c>
      <c r="F3" s="2" t="n">
        <v>6063</v>
      </c>
      <c r="G3" s="2" t="n">
        <v>921404</v>
      </c>
      <c r="H3" s="2" t="n">
        <v>26267</v>
      </c>
      <c r="I3" s="3" t="n">
        <v>0.1766</v>
      </c>
      <c r="J3" s="2" t="n">
        <v>70</v>
      </c>
      <c r="K3" s="2" t="n">
        <v>9332</v>
      </c>
      <c r="L3" s="4" t="s">
        <v>21</v>
      </c>
      <c r="M3" s="2" t="s">
        <v>22</v>
      </c>
      <c r="N3" s="2" t="n">
        <v>4</v>
      </c>
      <c r="O3" s="2" t="s">
        <v>23</v>
      </c>
      <c r="P3" s="2" t="s">
        <v>29</v>
      </c>
      <c r="Q3" s="2" t="s">
        <v>25</v>
      </c>
      <c r="R3" s="2" t="s">
        <v>26</v>
      </c>
    </row>
    <row r="4" customFormat="false" ht="15" hidden="false" customHeight="false" outlineLevel="0" collapsed="false">
      <c r="A4" s="2" t="s">
        <v>30</v>
      </c>
      <c r="B4" s="2" t="s">
        <v>31</v>
      </c>
      <c r="C4" s="2" t="s">
        <v>20</v>
      </c>
      <c r="D4" s="2" t="n">
        <v>22</v>
      </c>
      <c r="E4" s="2" t="n">
        <v>1613</v>
      </c>
      <c r="F4" s="2" t="n">
        <v>6365</v>
      </c>
      <c r="G4" s="2" t="n">
        <v>941715</v>
      </c>
      <c r="H4" s="2" t="n">
        <v>28471</v>
      </c>
      <c r="I4" s="3" t="n">
        <v>0.1846</v>
      </c>
      <c r="J4" s="2" t="n">
        <v>84</v>
      </c>
      <c r="K4" s="2" t="n">
        <v>9136</v>
      </c>
      <c r="L4" s="4" t="s">
        <v>21</v>
      </c>
      <c r="M4" s="2" t="s">
        <v>22</v>
      </c>
      <c r="N4" s="2" t="n">
        <v>4</v>
      </c>
      <c r="O4" s="2" t="s">
        <v>23</v>
      </c>
      <c r="P4" s="2" t="s">
        <v>32</v>
      </c>
      <c r="Q4" s="2" t="s">
        <v>25</v>
      </c>
      <c r="R4" s="2" t="s">
        <v>26</v>
      </c>
    </row>
    <row r="5" customFormat="false" ht="15" hidden="false" customHeight="false" outlineLevel="0" collapsed="false">
      <c r="A5" s="2" t="s">
        <v>33</v>
      </c>
      <c r="B5" s="2" t="s">
        <v>34</v>
      </c>
      <c r="C5" s="2" t="s">
        <v>20</v>
      </c>
      <c r="D5" s="2" t="n">
        <v>20</v>
      </c>
      <c r="E5" s="2" t="n">
        <v>1589</v>
      </c>
      <c r="F5" s="2" t="n">
        <v>5855</v>
      </c>
      <c r="G5" s="2" t="n">
        <v>780429</v>
      </c>
      <c r="H5" s="2" t="n">
        <v>25071</v>
      </c>
      <c r="I5" s="3" t="n">
        <v>0.159</v>
      </c>
      <c r="J5" s="2" t="n">
        <v>77</v>
      </c>
      <c r="K5" s="2" t="n">
        <v>10328</v>
      </c>
      <c r="L5" s="4" t="s">
        <v>21</v>
      </c>
      <c r="M5" s="2" t="s">
        <v>22</v>
      </c>
      <c r="N5" s="2" t="n">
        <v>4</v>
      </c>
      <c r="O5" s="2" t="s">
        <v>23</v>
      </c>
      <c r="P5" s="2" t="s">
        <v>35</v>
      </c>
      <c r="Q5" s="2" t="s">
        <v>25</v>
      </c>
      <c r="R5" s="2" t="s">
        <v>26</v>
      </c>
    </row>
    <row r="6" customFormat="false" ht="15" hidden="false" customHeight="false" outlineLevel="0" collapsed="false">
      <c r="A6" s="2" t="s">
        <v>36</v>
      </c>
      <c r="B6" s="2" t="s">
        <v>37</v>
      </c>
      <c r="C6" s="2" t="s">
        <v>20</v>
      </c>
      <c r="D6" s="2" t="n">
        <v>25</v>
      </c>
      <c r="E6" s="2" t="n">
        <v>1597</v>
      </c>
      <c r="F6" s="2" t="n">
        <v>6461</v>
      </c>
      <c r="G6" s="2" t="n">
        <v>883038</v>
      </c>
      <c r="H6" s="2" t="n">
        <v>29445</v>
      </c>
      <c r="I6" s="3" t="n">
        <v>0.1811</v>
      </c>
      <c r="J6" s="2" t="n">
        <v>82</v>
      </c>
      <c r="K6" s="2" t="n">
        <v>9898</v>
      </c>
      <c r="L6" s="4" t="s">
        <v>21</v>
      </c>
      <c r="M6" s="2" t="s">
        <v>22</v>
      </c>
      <c r="N6" s="2" t="n">
        <v>4</v>
      </c>
      <c r="O6" s="2" t="s">
        <v>23</v>
      </c>
      <c r="P6" s="2" t="s">
        <v>38</v>
      </c>
      <c r="Q6" s="2" t="s">
        <v>25</v>
      </c>
      <c r="R6" s="2" t="s">
        <v>26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20</v>
      </c>
      <c r="D7" s="2" t="n">
        <v>20</v>
      </c>
      <c r="E7" s="2" t="n">
        <v>1597</v>
      </c>
      <c r="F7" s="2" t="n">
        <v>5478</v>
      </c>
      <c r="G7" s="2" t="n">
        <v>796799</v>
      </c>
      <c r="H7" s="2" t="n">
        <v>24458</v>
      </c>
      <c r="I7" s="3" t="n">
        <v>0.1576</v>
      </c>
      <c r="J7" s="2" t="n">
        <v>73</v>
      </c>
      <c r="K7" s="2" t="n">
        <v>9571</v>
      </c>
      <c r="L7" s="4" t="s">
        <v>21</v>
      </c>
      <c r="M7" s="2" t="s">
        <v>22</v>
      </c>
      <c r="N7" s="2" t="n">
        <v>4</v>
      </c>
      <c r="O7" s="2" t="s">
        <v>23</v>
      </c>
      <c r="P7" s="2" t="s">
        <v>41</v>
      </c>
      <c r="Q7" s="2" t="s">
        <v>42</v>
      </c>
      <c r="R7" s="2" t="s">
        <v>43</v>
      </c>
    </row>
    <row r="8" customFormat="false" ht="15" hidden="false" customHeight="false" outlineLevel="0" collapsed="false">
      <c r="A8" s="2" t="s">
        <v>44</v>
      </c>
      <c r="B8" s="2" t="s">
        <v>45</v>
      </c>
      <c r="C8" s="2" t="s">
        <v>20</v>
      </c>
      <c r="D8" s="2" t="n">
        <v>22</v>
      </c>
      <c r="E8" s="2" t="n">
        <v>1605</v>
      </c>
      <c r="F8" s="2" t="n">
        <v>6068</v>
      </c>
      <c r="G8" s="2" t="n">
        <v>854036</v>
      </c>
      <c r="H8" s="2" t="n">
        <v>25159</v>
      </c>
      <c r="I8" s="3" t="n">
        <v>0.1677</v>
      </c>
      <c r="J8" s="2" t="n">
        <v>80</v>
      </c>
      <c r="K8" s="2" t="n">
        <v>10065</v>
      </c>
      <c r="L8" s="4" t="s">
        <v>21</v>
      </c>
      <c r="M8" s="2" t="s">
        <v>22</v>
      </c>
      <c r="N8" s="2" t="n">
        <v>4</v>
      </c>
      <c r="O8" s="2" t="s">
        <v>23</v>
      </c>
      <c r="P8" s="2" t="s">
        <v>32</v>
      </c>
      <c r="Q8" s="2" t="s">
        <v>42</v>
      </c>
      <c r="R8" s="2" t="s">
        <v>43</v>
      </c>
    </row>
    <row r="9" customFormat="false" ht="15" hidden="false" customHeight="false" outlineLevel="0" collapsed="false">
      <c r="A9" s="2" t="s">
        <v>46</v>
      </c>
      <c r="B9" s="2" t="s">
        <v>47</v>
      </c>
      <c r="C9" s="2" t="s">
        <v>20</v>
      </c>
      <c r="D9" s="2" t="n">
        <v>23</v>
      </c>
      <c r="E9" s="2" t="n">
        <v>1621</v>
      </c>
      <c r="F9" s="2" t="n">
        <v>5385</v>
      </c>
      <c r="G9" s="2" t="n">
        <v>952870</v>
      </c>
      <c r="H9" s="2" t="n">
        <v>26755</v>
      </c>
      <c r="I9" s="3" t="n">
        <v>0.1773</v>
      </c>
      <c r="J9" s="2" t="n">
        <v>75</v>
      </c>
      <c r="K9" s="2" t="n">
        <v>9236</v>
      </c>
      <c r="L9" s="4" t="s">
        <v>21</v>
      </c>
      <c r="M9" s="2" t="s">
        <v>22</v>
      </c>
      <c r="N9" s="2" t="n">
        <v>4</v>
      </c>
      <c r="O9" s="2" t="s">
        <v>23</v>
      </c>
      <c r="P9" s="2" t="s">
        <v>29</v>
      </c>
      <c r="Q9" s="2" t="s">
        <v>42</v>
      </c>
      <c r="R9" s="2" t="s">
        <v>43</v>
      </c>
    </row>
    <row r="10" customFormat="false" ht="15" hidden="false" customHeight="false" outlineLevel="0" collapsed="false">
      <c r="A10" s="2" t="s">
        <v>48</v>
      </c>
      <c r="B10" s="2" t="s">
        <v>49</v>
      </c>
      <c r="C10" s="2" t="s">
        <v>20</v>
      </c>
      <c r="D10" s="2" t="n">
        <v>20</v>
      </c>
      <c r="E10" s="2" t="n">
        <v>1597</v>
      </c>
      <c r="F10" s="2" t="n">
        <v>5654</v>
      </c>
      <c r="G10" s="2" t="n">
        <v>839357</v>
      </c>
      <c r="H10" s="2" t="n">
        <v>27750</v>
      </c>
      <c r="I10" s="3" t="n">
        <v>0.1693</v>
      </c>
      <c r="J10" s="2" t="n">
        <v>75</v>
      </c>
      <c r="K10" s="2" t="n">
        <v>9420</v>
      </c>
      <c r="L10" s="4" t="s">
        <v>21</v>
      </c>
      <c r="M10" s="2" t="s">
        <v>22</v>
      </c>
      <c r="N10" s="2" t="n">
        <v>4</v>
      </c>
      <c r="O10" s="2" t="s">
        <v>23</v>
      </c>
      <c r="P10" s="2" t="s">
        <v>50</v>
      </c>
      <c r="Q10" s="2" t="s">
        <v>42</v>
      </c>
      <c r="R10" s="2" t="s">
        <v>43</v>
      </c>
    </row>
    <row r="11" customFormat="false" ht="15" hidden="false" customHeight="false" outlineLevel="0" collapsed="false">
      <c r="A11" s="2" t="s">
        <v>51</v>
      </c>
      <c r="B11" s="2" t="s">
        <v>52</v>
      </c>
      <c r="C11" s="2" t="s">
        <v>20</v>
      </c>
      <c r="D11" s="2" t="n">
        <v>21</v>
      </c>
      <c r="E11" s="2" t="n">
        <v>1581</v>
      </c>
      <c r="F11" s="2" t="n">
        <v>5223</v>
      </c>
      <c r="G11" s="2" t="n">
        <v>774924</v>
      </c>
      <c r="H11" s="2" t="n">
        <v>27797</v>
      </c>
      <c r="I11" s="3" t="n">
        <v>0.1608</v>
      </c>
      <c r="J11" s="2" t="n">
        <v>68</v>
      </c>
      <c r="K11" s="2" t="n">
        <v>9346</v>
      </c>
      <c r="L11" s="4" t="s">
        <v>21</v>
      </c>
      <c r="M11" s="2" t="s">
        <v>22</v>
      </c>
      <c r="N11" s="2" t="n">
        <v>4</v>
      </c>
      <c r="O11" s="2" t="s">
        <v>23</v>
      </c>
      <c r="P11" s="2" t="s">
        <v>50</v>
      </c>
      <c r="Q11" s="2" t="s">
        <v>42</v>
      </c>
      <c r="R11" s="2" t="s">
        <v>43</v>
      </c>
    </row>
    <row r="12" customFormat="false" ht="15" hidden="false" customHeight="false" outlineLevel="0" collapsed="false">
      <c r="A12" s="2" t="s">
        <v>53</v>
      </c>
      <c r="B12" s="2" t="s">
        <v>54</v>
      </c>
      <c r="C12" s="2" t="s">
        <v>20</v>
      </c>
      <c r="D12" s="2" t="n">
        <v>20</v>
      </c>
      <c r="E12" s="2" t="n">
        <v>1597</v>
      </c>
      <c r="F12" s="2" t="n">
        <v>5550</v>
      </c>
      <c r="G12" s="2" t="n">
        <v>847207</v>
      </c>
      <c r="H12" s="2" t="n">
        <v>51481</v>
      </c>
      <c r="I12" s="3" t="n">
        <v>0.217</v>
      </c>
      <c r="J12" s="2" t="n">
        <v>75</v>
      </c>
      <c r="K12" s="2" t="n">
        <v>9297</v>
      </c>
      <c r="L12" s="4" t="s">
        <v>21</v>
      </c>
      <c r="M12" s="2" t="s">
        <v>22</v>
      </c>
      <c r="N12" s="2" t="n">
        <v>4</v>
      </c>
      <c r="O12" s="2" t="s">
        <v>23</v>
      </c>
      <c r="P12" s="2" t="s">
        <v>32</v>
      </c>
      <c r="Q12" s="2" t="s">
        <v>55</v>
      </c>
      <c r="R12" s="2" t="s">
        <v>43</v>
      </c>
    </row>
    <row r="13" customFormat="false" ht="15" hidden="false" customHeight="false" outlineLevel="0" collapsed="false">
      <c r="A13" s="2" t="s">
        <v>56</v>
      </c>
      <c r="B13" s="2" t="s">
        <v>57</v>
      </c>
      <c r="C13" s="2" t="s">
        <v>20</v>
      </c>
      <c r="D13" s="2" t="n">
        <v>19</v>
      </c>
      <c r="E13" s="2" t="n">
        <v>1541</v>
      </c>
      <c r="F13" s="2" t="n">
        <v>4439</v>
      </c>
      <c r="G13" s="2" t="n">
        <v>514280</v>
      </c>
      <c r="H13" s="2" t="n">
        <v>25551</v>
      </c>
      <c r="I13" s="3" t="n">
        <v>0.1263</v>
      </c>
      <c r="J13" s="2" t="n">
        <v>57</v>
      </c>
      <c r="K13" s="2" t="n">
        <v>9595</v>
      </c>
      <c r="L13" s="4" t="s">
        <v>21</v>
      </c>
      <c r="M13" s="2" t="s">
        <v>22</v>
      </c>
      <c r="N13" s="2" t="n">
        <v>4</v>
      </c>
      <c r="O13" s="2" t="s">
        <v>23</v>
      </c>
      <c r="P13" s="2" t="s">
        <v>58</v>
      </c>
      <c r="Q13" s="2" t="s">
        <v>55</v>
      </c>
      <c r="R13" s="2" t="s">
        <v>43</v>
      </c>
    </row>
    <row r="14" customFormat="false" ht="15" hidden="false" customHeight="false" outlineLevel="0" collapsed="false">
      <c r="A14" s="2" t="s">
        <v>59</v>
      </c>
      <c r="B14" s="2" t="s">
        <v>60</v>
      </c>
      <c r="C14" s="2" t="s">
        <v>20</v>
      </c>
      <c r="D14" s="2" t="n">
        <v>19</v>
      </c>
      <c r="E14" s="2" t="n">
        <v>1589</v>
      </c>
      <c r="F14" s="2" t="n">
        <v>5294</v>
      </c>
      <c r="G14" s="2" t="n">
        <v>767409</v>
      </c>
      <c r="H14" s="2" t="n">
        <v>26127</v>
      </c>
      <c r="I14" s="3" t="n">
        <v>0.1571</v>
      </c>
      <c r="J14" s="2" t="n">
        <v>72</v>
      </c>
      <c r="K14" s="2" t="n">
        <v>9740</v>
      </c>
      <c r="L14" s="4" t="s">
        <v>21</v>
      </c>
      <c r="M14" s="2" t="s">
        <v>22</v>
      </c>
      <c r="N14" s="2" t="n">
        <v>4</v>
      </c>
      <c r="O14" s="2" t="s">
        <v>23</v>
      </c>
      <c r="P14" s="2" t="s">
        <v>29</v>
      </c>
      <c r="Q14" s="2" t="s">
        <v>55</v>
      </c>
      <c r="R14" s="2" t="s">
        <v>43</v>
      </c>
    </row>
    <row r="15" customFormat="false" ht="15" hidden="false" customHeight="false" outlineLevel="0" collapsed="false">
      <c r="A15" s="2" t="s">
        <v>61</v>
      </c>
      <c r="B15" s="2" t="s">
        <v>62</v>
      </c>
      <c r="C15" s="2" t="s">
        <v>20</v>
      </c>
      <c r="D15" s="2" t="n">
        <v>19</v>
      </c>
      <c r="E15" s="2" t="n">
        <v>1581</v>
      </c>
      <c r="F15" s="2" t="n">
        <v>5341</v>
      </c>
      <c r="G15" s="2" t="n">
        <v>751295</v>
      </c>
      <c r="H15" s="2" t="n">
        <v>27279</v>
      </c>
      <c r="I15" s="3" t="n">
        <v>0.158</v>
      </c>
      <c r="J15" s="2" t="n">
        <v>69</v>
      </c>
      <c r="K15" s="2" t="n">
        <v>9544</v>
      </c>
      <c r="L15" s="4" t="s">
        <v>21</v>
      </c>
      <c r="M15" s="2" t="s">
        <v>22</v>
      </c>
      <c r="N15" s="2" t="n">
        <v>4</v>
      </c>
      <c r="O15" s="2" t="s">
        <v>23</v>
      </c>
      <c r="P15" s="2" t="s">
        <v>29</v>
      </c>
      <c r="Q15" s="2" t="s">
        <v>55</v>
      </c>
      <c r="R15" s="2" t="s">
        <v>43</v>
      </c>
    </row>
    <row r="16" customFormat="false" ht="15" hidden="false" customHeight="false" outlineLevel="0" collapsed="false">
      <c r="A16" s="2" t="s">
        <v>63</v>
      </c>
      <c r="B16" s="2" t="s">
        <v>64</v>
      </c>
      <c r="C16" s="2" t="s">
        <v>20</v>
      </c>
      <c r="D16" s="2" t="n">
        <v>17</v>
      </c>
      <c r="E16" s="2" t="n">
        <v>1557</v>
      </c>
      <c r="F16" s="2" t="n">
        <v>4625</v>
      </c>
      <c r="G16" s="2" t="n">
        <v>586377</v>
      </c>
      <c r="H16" s="2" t="n">
        <v>22319</v>
      </c>
      <c r="I16" s="3" t="n">
        <v>0.128</v>
      </c>
      <c r="J16" s="2" t="n">
        <v>59</v>
      </c>
      <c r="K16" s="2" t="n">
        <v>9247</v>
      </c>
      <c r="L16" s="5" t="s">
        <v>65</v>
      </c>
      <c r="M16" s="2" t="s">
        <v>66</v>
      </c>
      <c r="N16" s="2" t="n">
        <v>4</v>
      </c>
      <c r="O16" s="2" t="s">
        <v>67</v>
      </c>
      <c r="P16" s="2" t="s">
        <v>68</v>
      </c>
      <c r="Q16" s="2" t="s">
        <v>55</v>
      </c>
      <c r="R16" s="2" t="s">
        <v>43</v>
      </c>
    </row>
    <row r="17" customFormat="false" ht="15" hidden="false" customHeight="false" outlineLevel="0" collapsed="false">
      <c r="A17" s="2" t="s">
        <v>69</v>
      </c>
      <c r="B17" s="2" t="s">
        <v>70</v>
      </c>
      <c r="C17" s="2" t="s">
        <v>20</v>
      </c>
      <c r="D17" s="2" t="n">
        <v>21</v>
      </c>
      <c r="E17" s="2" t="n">
        <v>1605</v>
      </c>
      <c r="F17" s="2" t="n">
        <v>5437</v>
      </c>
      <c r="G17" s="2" t="n">
        <v>880272</v>
      </c>
      <c r="H17" s="2" t="n">
        <v>27882</v>
      </c>
      <c r="I17" s="3" t="n">
        <v>0.1726</v>
      </c>
      <c r="J17" s="2" t="n">
        <v>71</v>
      </c>
      <c r="K17" s="2" t="n">
        <v>8542</v>
      </c>
      <c r="L17" s="4" t="s">
        <v>21</v>
      </c>
      <c r="M17" s="2" t="s">
        <v>22</v>
      </c>
      <c r="N17" s="2" t="n">
        <v>4</v>
      </c>
      <c r="O17" s="2" t="s">
        <v>23</v>
      </c>
      <c r="P17" s="2" t="s">
        <v>50</v>
      </c>
      <c r="Q17" s="2" t="s">
        <v>55</v>
      </c>
      <c r="R17" s="2" t="s">
        <v>43</v>
      </c>
    </row>
    <row r="18" customFormat="false" ht="15" hidden="false" customHeight="false" outlineLevel="0" collapsed="false">
      <c r="A18" s="2" t="s">
        <v>71</v>
      </c>
      <c r="B18" s="2" t="s">
        <v>72</v>
      </c>
      <c r="C18" s="2" t="s">
        <v>20</v>
      </c>
      <c r="D18" s="2" t="n">
        <v>21</v>
      </c>
      <c r="E18" s="2" t="n">
        <v>1589</v>
      </c>
      <c r="F18" s="2" t="n">
        <v>5780</v>
      </c>
      <c r="G18" s="2" t="n">
        <v>796230</v>
      </c>
      <c r="H18" s="2" t="n">
        <v>26568</v>
      </c>
      <c r="I18" s="3" t="n">
        <v>0.1632</v>
      </c>
      <c r="J18" s="2" t="n">
        <v>73</v>
      </c>
      <c r="K18" s="2" t="n">
        <v>8224</v>
      </c>
      <c r="L18" s="5" t="s">
        <v>65</v>
      </c>
      <c r="M18" s="2" t="s">
        <v>73</v>
      </c>
      <c r="N18" s="2" t="n">
        <v>5</v>
      </c>
      <c r="O18" s="2" t="s">
        <v>74</v>
      </c>
      <c r="P18" s="2" t="s">
        <v>75</v>
      </c>
      <c r="Q18" s="2" t="s">
        <v>55</v>
      </c>
      <c r="R18" s="2" t="s">
        <v>43</v>
      </c>
    </row>
    <row r="19" customFormat="false" ht="15" hidden="false" customHeight="false" outlineLevel="0" collapsed="false">
      <c r="A19" s="2" t="s">
        <v>76</v>
      </c>
      <c r="B19" s="2" t="s">
        <v>77</v>
      </c>
      <c r="C19" s="2" t="s">
        <v>20</v>
      </c>
      <c r="D19" s="2" t="n">
        <v>21</v>
      </c>
      <c r="E19" s="2" t="n">
        <v>1605</v>
      </c>
      <c r="F19" s="2" t="n">
        <v>6035</v>
      </c>
      <c r="G19" s="2" t="n">
        <v>873325</v>
      </c>
      <c r="H19" s="2" t="n">
        <v>27452</v>
      </c>
      <c r="I19" s="3" t="n">
        <v>0.174</v>
      </c>
      <c r="J19" s="2" t="n">
        <v>78</v>
      </c>
      <c r="K19" s="2" t="n">
        <v>8436</v>
      </c>
      <c r="L19" s="4" t="s">
        <v>21</v>
      </c>
      <c r="M19" s="2" t="s">
        <v>22</v>
      </c>
      <c r="N19" s="2" t="n">
        <v>4</v>
      </c>
      <c r="O19" s="2" t="s">
        <v>23</v>
      </c>
      <c r="P19" s="2" t="s">
        <v>78</v>
      </c>
      <c r="Q19" s="2" t="s">
        <v>55</v>
      </c>
      <c r="R19" s="2" t="s">
        <v>43</v>
      </c>
    </row>
    <row r="20" customFormat="false" ht="15" hidden="false" customHeight="false" outlineLevel="0" collapsed="false">
      <c r="A20" s="2" t="s">
        <v>79</v>
      </c>
      <c r="B20" s="2" t="s">
        <v>80</v>
      </c>
      <c r="C20" s="2" t="s">
        <v>20</v>
      </c>
      <c r="D20" s="2" t="n">
        <v>20</v>
      </c>
      <c r="E20" s="2" t="n">
        <v>1597</v>
      </c>
      <c r="F20" s="2" t="n">
        <v>5547</v>
      </c>
      <c r="G20" s="2" t="n">
        <v>826863</v>
      </c>
      <c r="H20" s="2" t="n">
        <v>27453</v>
      </c>
      <c r="I20" s="3" t="n">
        <v>0.1669</v>
      </c>
      <c r="J20" s="2" t="n">
        <v>72</v>
      </c>
      <c r="K20" s="2" t="n">
        <v>8264</v>
      </c>
      <c r="L20" s="4" t="s">
        <v>21</v>
      </c>
      <c r="M20" s="2" t="s">
        <v>22</v>
      </c>
      <c r="N20" s="2" t="n">
        <v>4</v>
      </c>
      <c r="O20" s="2" t="s">
        <v>23</v>
      </c>
      <c r="P20" s="2" t="s">
        <v>81</v>
      </c>
      <c r="Q20" s="2" t="s">
        <v>55</v>
      </c>
      <c r="R20" s="2" t="s">
        <v>43</v>
      </c>
    </row>
    <row r="21" customFormat="false" ht="15" hidden="false" customHeight="false" outlineLevel="0" collapsed="false">
      <c r="A21" s="2" t="s">
        <v>82</v>
      </c>
      <c r="B21" s="2" t="s">
        <v>83</v>
      </c>
      <c r="C21" s="2" t="s">
        <v>20</v>
      </c>
      <c r="D21" s="2" t="n">
        <v>18</v>
      </c>
      <c r="E21" s="2" t="n">
        <v>1557</v>
      </c>
      <c r="F21" s="2" t="n">
        <v>4600</v>
      </c>
      <c r="G21" s="2" t="n">
        <v>612566</v>
      </c>
      <c r="H21" s="2" t="n">
        <v>25678</v>
      </c>
      <c r="I21" s="3" t="n">
        <v>0.1372</v>
      </c>
      <c r="J21" s="2" t="n">
        <v>59</v>
      </c>
      <c r="K21" s="2" t="n">
        <v>8374</v>
      </c>
      <c r="L21" s="6" t="s">
        <v>84</v>
      </c>
      <c r="M21" s="2" t="s">
        <v>85</v>
      </c>
      <c r="N21" s="2" t="n">
        <v>4</v>
      </c>
      <c r="O21" s="2" t="s">
        <v>23</v>
      </c>
      <c r="P21" s="2" t="s">
        <v>86</v>
      </c>
      <c r="Q21" s="2" t="s">
        <v>55</v>
      </c>
      <c r="R21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32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7" t="s">
        <v>87</v>
      </c>
    </row>
    <row r="2" customFormat="false" ht="15" hidden="false" customHeight="true" outlineLevel="0" collapsed="false">
      <c r="A2" s="8" t="s">
        <v>88</v>
      </c>
      <c r="B2" s="8"/>
      <c r="C2" s="8"/>
      <c r="D2" s="8"/>
      <c r="E2" s="8"/>
      <c r="F2" s="8"/>
    </row>
    <row r="3" customFormat="false" ht="15" hidden="false" customHeight="false" outlineLevel="0" collapsed="false">
      <c r="A3" s="8"/>
      <c r="B3" s="8"/>
      <c r="C3" s="8"/>
      <c r="D3" s="8"/>
      <c r="E3" s="8"/>
      <c r="F3" s="8"/>
    </row>
    <row r="5" customFormat="false" ht="15" hidden="false" customHeight="false" outlineLevel="0" collapsed="false">
      <c r="A5" s="9" t="s">
        <v>89</v>
      </c>
      <c r="D5" s="9" t="s">
        <v>90</v>
      </c>
    </row>
    <row r="6" customFormat="false" ht="15" hidden="false" customHeight="false" outlineLevel="0" collapsed="false">
      <c r="A6" s="10" t="s">
        <v>21</v>
      </c>
      <c r="B6" s="11" t="n">
        <f aca="false">COUNTIF(Runs!L:L,"PASS")</f>
        <v>17</v>
      </c>
      <c r="D6" s="10" t="s">
        <v>9</v>
      </c>
      <c r="E6" s="12" t="n">
        <f aca="false">AVERAGE(Runs!J2:J21)</f>
        <v>71.95</v>
      </c>
    </row>
    <row r="7" customFormat="false" ht="15" hidden="false" customHeight="false" outlineLevel="0" collapsed="false">
      <c r="A7" s="10" t="s">
        <v>84</v>
      </c>
      <c r="B7" s="11" t="n">
        <f aca="false">COUNTIF(Runs!L:L,"FAIL")</f>
        <v>1</v>
      </c>
      <c r="D7" s="10" t="s">
        <v>10</v>
      </c>
      <c r="E7" s="12" t="n">
        <f aca="false">AVERAGE(Runs!K2:K21)</f>
        <v>9291.3</v>
      </c>
    </row>
    <row r="8" customFormat="false" ht="15" hidden="false" customHeight="false" outlineLevel="0" collapsed="false">
      <c r="A8" s="10" t="s">
        <v>65</v>
      </c>
      <c r="B8" s="11" t="n">
        <f aca="false">COUNTIF(Runs!L:L,"NEEDS_HUMAN")</f>
        <v>2</v>
      </c>
      <c r="D8" s="10" t="s">
        <v>91</v>
      </c>
      <c r="E8" s="13" t="n">
        <f aca="false">AVERAGE(Runs!I2:I21)</f>
        <v>0.16464</v>
      </c>
    </row>
    <row r="9" customFormat="false" ht="15" hidden="false" customHeight="false" outlineLevel="0" collapsed="false">
      <c r="A9" s="10" t="s">
        <v>92</v>
      </c>
      <c r="B9" s="11" t="n">
        <f aca="false">COUNTA(Runs!A:A)-1</f>
        <v>20</v>
      </c>
      <c r="D9" s="10" t="s">
        <v>93</v>
      </c>
      <c r="E9" s="14" t="n">
        <f aca="false">SUM(Runs!I2:I21)</f>
        <v>3.2928</v>
      </c>
    </row>
    <row r="10" customFormat="false" ht="15" hidden="false" customHeight="false" outlineLevel="0" collapsed="false">
      <c r="D10" s="10" t="s">
        <v>94</v>
      </c>
      <c r="E10" s="12" t="n">
        <f aca="false">AVERAGE(Runs!F2:F21)</f>
        <v>5498.8</v>
      </c>
    </row>
    <row r="12" customFormat="false" ht="15" hidden="false" customHeight="false" outlineLevel="0" collapsed="false">
      <c r="A12" s="9" t="s">
        <v>95</v>
      </c>
    </row>
    <row r="13" customFormat="false" ht="15" hidden="false" customHeight="true" outlineLevel="0" collapsed="false">
      <c r="A13" s="15" t="s">
        <v>96</v>
      </c>
      <c r="B13" s="16" t="s">
        <v>65</v>
      </c>
      <c r="C13" s="8" t="s">
        <v>97</v>
      </c>
      <c r="D13" s="8"/>
      <c r="E13" s="8"/>
      <c r="F13" s="8"/>
    </row>
    <row r="14" customFormat="false" ht="15" hidden="false" customHeight="false" outlineLevel="0" collapsed="false">
      <c r="C14" s="8"/>
      <c r="D14" s="8"/>
      <c r="E14" s="8"/>
      <c r="F14" s="8"/>
    </row>
    <row r="15" customFormat="false" ht="15" hidden="false" customHeight="true" outlineLevel="0" collapsed="false">
      <c r="A15" s="15" t="s">
        <v>98</v>
      </c>
      <c r="B15" s="16" t="s">
        <v>65</v>
      </c>
      <c r="C15" s="8" t="s">
        <v>99</v>
      </c>
      <c r="D15" s="8"/>
      <c r="E15" s="8"/>
      <c r="F15" s="8"/>
    </row>
    <row r="16" customFormat="false" ht="15" hidden="false" customHeight="false" outlineLevel="0" collapsed="false">
      <c r="C16" s="8"/>
      <c r="D16" s="8"/>
      <c r="E16" s="8"/>
      <c r="F16" s="8"/>
    </row>
    <row r="17" customFormat="false" ht="15" hidden="false" customHeight="true" outlineLevel="0" collapsed="false">
      <c r="A17" s="15" t="s">
        <v>100</v>
      </c>
      <c r="B17" s="17" t="s">
        <v>84</v>
      </c>
      <c r="C17" s="8" t="s">
        <v>101</v>
      </c>
      <c r="D17" s="8"/>
      <c r="E17" s="8"/>
      <c r="F17" s="8"/>
    </row>
    <row r="18" customFormat="false" ht="15" hidden="false" customHeight="false" outlineLevel="0" collapsed="false">
      <c r="C18" s="8"/>
      <c r="D18" s="8"/>
      <c r="E18" s="8"/>
      <c r="F18" s="8"/>
    </row>
    <row r="20" customFormat="false" ht="15" hidden="false" customHeight="false" outlineLevel="0" collapsed="false">
      <c r="A20" s="9" t="s">
        <v>102</v>
      </c>
    </row>
    <row r="21" customFormat="false" ht="15" hidden="false" customHeight="false" outlineLevel="0" collapsed="false">
      <c r="A21" s="9" t="s">
        <v>103</v>
      </c>
      <c r="B21" s="9" t="s">
        <v>104</v>
      </c>
      <c r="C21" s="9" t="s">
        <v>105</v>
      </c>
      <c r="D21" s="9" t="s">
        <v>106</v>
      </c>
      <c r="E21" s="9" t="s">
        <v>107</v>
      </c>
    </row>
    <row r="22" customFormat="false" ht="15" hidden="false" customHeight="false" outlineLevel="0" collapsed="false">
      <c r="A22" s="10" t="s">
        <v>108</v>
      </c>
      <c r="B22" s="10" t="s">
        <v>22</v>
      </c>
      <c r="C22" s="10" t="s">
        <v>22</v>
      </c>
      <c r="D22" s="10" t="s">
        <v>42</v>
      </c>
      <c r="E22" s="18" t="s">
        <v>109</v>
      </c>
    </row>
    <row r="23" customFormat="false" ht="15" hidden="false" customHeight="false" outlineLevel="0" collapsed="false">
      <c r="A23" s="10" t="s">
        <v>110</v>
      </c>
      <c r="B23" s="10" t="s">
        <v>111</v>
      </c>
      <c r="C23" s="10" t="s">
        <v>55</v>
      </c>
      <c r="D23" s="10" t="s">
        <v>112</v>
      </c>
      <c r="E23" s="18" t="s">
        <v>113</v>
      </c>
    </row>
    <row r="24" customFormat="false" ht="15" hidden="false" customHeight="false" outlineLevel="0" collapsed="false">
      <c r="A24" s="10" t="s">
        <v>114</v>
      </c>
      <c r="B24" s="10" t="s">
        <v>25</v>
      </c>
      <c r="C24" s="10" t="s">
        <v>25</v>
      </c>
      <c r="D24" s="10" t="s">
        <v>25</v>
      </c>
      <c r="E24" s="18" t="s">
        <v>115</v>
      </c>
    </row>
    <row r="25" customFormat="false" ht="15" hidden="false" customHeight="false" outlineLevel="0" collapsed="false">
      <c r="A25" s="10" t="s">
        <v>116</v>
      </c>
      <c r="B25" s="10" t="s">
        <v>25</v>
      </c>
      <c r="C25" s="10" t="s">
        <v>25</v>
      </c>
      <c r="D25" s="10" t="s">
        <v>25</v>
      </c>
      <c r="E25" s="18" t="s">
        <v>117</v>
      </c>
    </row>
    <row r="26" customFormat="false" ht="15" hidden="false" customHeight="false" outlineLevel="0" collapsed="false">
      <c r="A26" s="10" t="s">
        <v>118</v>
      </c>
      <c r="B26" s="10" t="s">
        <v>42</v>
      </c>
      <c r="C26" s="10" t="s">
        <v>42</v>
      </c>
      <c r="D26" s="10" t="s">
        <v>55</v>
      </c>
      <c r="E26" s="18" t="s">
        <v>119</v>
      </c>
    </row>
    <row r="28" customFormat="false" ht="15" hidden="false" customHeight="true" outlineLevel="0" collapsed="false">
      <c r="A28" s="19" t="s">
        <v>120</v>
      </c>
      <c r="B28" s="19"/>
      <c r="C28" s="19"/>
      <c r="D28" s="19"/>
      <c r="E28" s="19"/>
      <c r="F28" s="19"/>
    </row>
    <row r="29" customFormat="false" ht="15" hidden="false" customHeight="false" outlineLevel="0" collapsed="false">
      <c r="A29" s="19"/>
      <c r="B29" s="19"/>
      <c r="C29" s="19"/>
      <c r="D29" s="19"/>
      <c r="E29" s="19"/>
      <c r="F29" s="19"/>
    </row>
    <row r="31" customFormat="false" ht="15" hidden="false" customHeight="false" outlineLevel="0" collapsed="false">
      <c r="A31" s="9" t="s">
        <v>121</v>
      </c>
    </row>
    <row r="32" customFormat="false" ht="15" hidden="false" customHeight="true" outlineLevel="0" collapsed="false">
      <c r="A32" s="19" t="s">
        <v>122</v>
      </c>
      <c r="B32" s="19"/>
      <c r="C32" s="19"/>
      <c r="D32" s="19"/>
      <c r="E32" s="19"/>
      <c r="F32" s="19"/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</row>
    <row r="34" customFormat="false" ht="15" hidden="false" customHeight="false" outlineLevel="0" collapsed="false">
      <c r="A34" s="19"/>
      <c r="B34" s="19"/>
      <c r="C34" s="19"/>
      <c r="D34" s="19"/>
      <c r="E34" s="19"/>
      <c r="F34" s="19"/>
    </row>
  </sheetData>
  <mergeCells count="6">
    <mergeCell ref="A2:F3"/>
    <mergeCell ref="C13:F14"/>
    <mergeCell ref="C15:F16"/>
    <mergeCell ref="C17:F18"/>
    <mergeCell ref="A28:F29"/>
    <mergeCell ref="A32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2026-09-02T20:24:52Z</dcterms:created>
  <dc:creator>openpyxl</dc:creator>
  <dc:description/>
  <dc:language>en-CA</dc:language>
  <cp:lastModifiedBy/>
  <dcterms:modified xsi:type="dcterms:W3CDTF">2026-09-02T20:24:52Z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