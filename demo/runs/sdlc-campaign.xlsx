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<sst xmlns="http://schemas.openxmlformats.org/spreadsheetml/2006/main" count="147" uniqueCount="81">
  <si>
    <t xml:space="preserve">run_id</t>
  </si>
  <si>
    <t xml:space="preserve">start (UTC)</t>
  </si>
  <si>
    <t xml:space="preserve">model</t>
  </si>
  <si>
    <t xml:space="preserve">turns</t>
  </si>
  <si>
    <t xml:space="preserve">tokens in</t>
  </si>
  <si>
    <t xml:space="preserve">tokens out</t>
  </si>
  <si>
    <t xml:space="preserve">tokens cache read</t>
  </si>
  <si>
    <t xml:space="preserve">tokens cache write</t>
  </si>
  <si>
    <t xml:space="preserve">cost (USD)</t>
  </si>
  <si>
    <t xml:space="preserve">executor wall (s)</t>
  </si>
  <si>
    <t xml:space="preserve">gate (ms)</t>
  </si>
  <si>
    <t xml:space="preserve">verdict</t>
  </si>
  <si>
    <t xml:space="preserve">reason codes</t>
  </si>
  <si>
    <t xml:space="preserve">files changed</t>
  </si>
  <si>
    <t xml:space="preserve">changed paths</t>
  </si>
  <si>
    <t xml:space="preserve">diff sha</t>
  </si>
  <si>
    <t xml:space="preserve">batch</t>
  </si>
  <si>
    <t xml:space="preserve">policy</t>
  </si>
  <si>
    <t xml:space="preserve">sdlc-20260902T192345Z</t>
  </si>
  <si>
    <t xml:space="preserve">2026-09-02 19:23:45</t>
  </si>
  <si>
    <t xml:space="preserve">claude-haiku-4-5-20251001</t>
  </si>
  <si>
    <t xml:space="preserve">PASS</t>
  </si>
  <si>
    <t xml:space="preserve">-</t>
  </si>
  <si>
    <t xml:space="preserve">README.md|setup.py|slugify/slugify.py|tox.ini</t>
  </si>
  <si>
    <t xml:space="preserve">7de694260732</t>
  </si>
  <si>
    <t xml:space="preserve">1</t>
  </si>
  <si>
    <t xml:space="preserve">4c52b4fb</t>
  </si>
  <si>
    <t xml:space="preserve">sdlc-20260902T192507Z</t>
  </si>
  <si>
    <t xml:space="preserve">2026-09-02 19:25:07</t>
  </si>
  <si>
    <t xml:space="preserve">2db19dce5635</t>
  </si>
  <si>
    <t xml:space="preserve">sdlc-20260902T192628Z</t>
  </si>
  <si>
    <t xml:space="preserve">2026-09-02 19:26:28</t>
  </si>
  <si>
    <t xml:space="preserve">66755ad46871</t>
  </si>
  <si>
    <t xml:space="preserve">sdlc-20260902T192803Z</t>
  </si>
  <si>
    <t xml:space="preserve">2026-09-02 19:28:03</t>
  </si>
  <si>
    <t xml:space="preserve">cdb41e8aed74</t>
  </si>
  <si>
    <t xml:space="preserve">sdlc-20260902T192932Z</t>
  </si>
  <si>
    <t xml:space="preserve">2026-09-02 19:29:32</t>
  </si>
  <si>
    <t xml:space="preserve">eea5746388ec</t>
  </si>
  <si>
    <t xml:space="preserve">sdlc-20260902T193547Z</t>
  </si>
  <si>
    <t xml:space="preserve">2026-09-02 19:35:47</t>
  </si>
  <si>
    <t xml:space="preserve">4793f6a99ea4</t>
  </si>
  <si>
    <t xml:space="preserve">2</t>
  </si>
  <si>
    <t xml:space="preserve">45c94e20</t>
  </si>
  <si>
    <t xml:space="preserve">sdlc-20260902T193711Z</t>
  </si>
  <si>
    <t xml:space="preserve">2026-09-02 19:37:11</t>
  </si>
  <si>
    <t xml:space="preserve">sdlc-20260902T193843Z</t>
  </si>
  <si>
    <t xml:space="preserve">2026-09-02 19:38:43</t>
  </si>
  <si>
    <t xml:space="preserve">sdlc-20260902T194009Z</t>
  </si>
  <si>
    <t xml:space="preserve">2026-09-02 19:40:09</t>
  </si>
  <si>
    <t xml:space="preserve">d685b17a2eb4</t>
  </si>
  <si>
    <t xml:space="preserve">sdlc-20260902T194135Z</t>
  </si>
  <si>
    <t xml:space="preserve">2026-09-02 19:41:35</t>
  </si>
  <si>
    <t xml:space="preserve">SDLC Online Campaign - 10 live runs, gate only, no oracle</t>
  </si>
  <si>
    <t xml:space="preserve">Task X1 on python-slugify. Every run: fresh claude -p session (model pinned) edits the repo, release-gate 0.6.0 judges it. No oracle: the verdict IS the outcome, as it would be inside an SDLC. All rows share card sha 9f5ae3e4, base commit 42e5e792, model claude-haiku-4-5-20251001.</t>
  </si>
  <si>
    <t xml:space="preserve">Verdicts</t>
  </si>
  <si>
    <t xml:space="preserve">Averages</t>
  </si>
  <si>
    <t xml:space="preserve">FAIL</t>
  </si>
  <si>
    <t xml:space="preserve">NEEDS_HUMAN</t>
  </si>
  <si>
    <t xml:space="preserve">cost / run (USD)</t>
  </si>
  <si>
    <t xml:space="preserve">total</t>
  </si>
  <si>
    <t xml:space="preserve">total cost (USD)</t>
  </si>
  <si>
    <t xml:space="preserve">output tokens</t>
  </si>
  <si>
    <t xml:space="preserve">Consistency of changes (the key finding)</t>
  </si>
  <si>
    <t xml:space="preserve">All 10 runs changed exactly the same four files: README.md, setup.py, slugify/slugify.py, tox.ini. All 10 whole-diffs are byte-different. Per file, distinct versions produced:</t>
  </si>
  <si>
    <t xml:space="preserve">file</t>
  </si>
  <si>
    <t xml:space="preserve">batch 1</t>
  </si>
  <si>
    <t xml:space="preserve">batch 2</t>
  </si>
  <si>
    <t xml:space="preserve">reading</t>
  </si>
  <si>
    <t xml:space="preserve">setup.py</t>
  </si>
  <si>
    <t xml:space="preserve">IDENTICAL in every run</t>
  </si>
  <si>
    <t xml:space="preserve">slugify/slugify.py</t>
  </si>
  <si>
    <t xml:space="preserve">tox.ini</t>
  </si>
  <si>
    <t xml:space="preserve">minor variants</t>
  </si>
  <si>
    <t xml:space="preserve">README.md</t>
  </si>
  <si>
    <t xml:space="preserve">4</t>
  </si>
  <si>
    <t xml:space="preserve">3</t>
  </si>
  <si>
    <t xml:space="preserve">improvises every time</t>
  </si>
  <si>
    <t xml:space="preserve">Stable where it is checked and mechanical (the code); variable where it is prose. Source: per-file patch hashes, computed at batch time (batch-1 patches were later deleted with a workbench rebuild; batch-2 patches archived under demo/runs/sdlc-*-gate/).</t>
  </si>
  <si>
    <t xml:space="preserve">Caveats</t>
  </si>
  <si>
    <t xml:space="preserve">10/10 PASS is a verdict distribution, not accuracy - no oracle ran. Wilson 95%: zero failures in 10 still allows a true non-PASS rate up to 27.8% (B5 statistics.py). Batch 2 ran under policy 45c94e20 vs batch 1 4c52b4fb: upstream added Windows-only proxy env passthrough; macOS execution identical.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</si>
</sst>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0.0000"/>
    <numFmt numFmtId="166" formatCode="0"/>
    <numFmt numFmtId="167" formatCode="\$0.000"/>
    <numFmt numFmtId="168" formatCode="\$0.00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B88C"/>
      <name val="Arial"/>
      <family val="0"/>
      <charset val="1"/>
    </font>
    <font>
      <b val="true"/>
      <sz val="13"/>
      <color rgb="FF001928"/>
      <name val="Arial"/>
      <family val="0"/>
      <charset val="1"/>
    </font>
    <font>
      <sz val="9"/>
      <color rgb="FF646C76"/>
      <name val="Arial"/>
      <family val="0"/>
      <charset val="1"/>
    </font>
    <font>
      <b val="true"/>
      <sz val="10"/>
      <color rgb="FF001928"/>
      <name val="Arial"/>
      <family val="0"/>
      <charset val="1"/>
    </font>
    <font>
      <sz val="10"/>
      <color rgb="FF001928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646C7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1928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88C"/>
      <rgbColor rgb="FF99CC00"/>
      <rgbColor rgb="FFFFCC00"/>
      <rgbColor rgb="FFFF9900"/>
      <rgbColor rgb="FFFF6600"/>
      <rgbColor rgb="FF646C76"/>
      <rgbColor rgb="FF969696"/>
      <rgbColor rgb="FF003366"/>
      <rgbColor rgb="FF339966"/>
      <rgbColor rgb="FF0019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44"/>
    <col collapsed="false" customWidth="true" hidden="false" outlineLevel="0" max="16" min="16" style="0" width="12"/>
    <col collapsed="false" customWidth="true" hidden="false" outlineLevel="0" max="17" min="17" style="0" width="6"/>
    <col collapsed="false" customWidth="true" hidden="false" outlineLevel="0" max="18" min="1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n">
        <v>19</v>
      </c>
      <c r="E2" s="2" t="n">
        <v>1589</v>
      </c>
      <c r="F2" s="2" t="n">
        <v>4776</v>
      </c>
      <c r="G2" s="2" t="n">
        <v>784744</v>
      </c>
      <c r="H2" s="2" t="n">
        <v>27261</v>
      </c>
      <c r="I2" s="3" t="n">
        <v>0.1585</v>
      </c>
      <c r="J2" s="2" t="n">
        <v>70</v>
      </c>
      <c r="K2" s="2" t="n">
        <v>10231</v>
      </c>
      <c r="L2" s="4" t="s">
        <v>21</v>
      </c>
      <c r="M2" s="2" t="s">
        <v>22</v>
      </c>
      <c r="N2" s="2" t="n">
        <v>4</v>
      </c>
      <c r="O2" s="2" t="s">
        <v>23</v>
      </c>
      <c r="P2" s="2" t="s">
        <v>24</v>
      </c>
      <c r="Q2" s="2" t="s">
        <v>25</v>
      </c>
      <c r="R2" s="2" t="s">
        <v>26</v>
      </c>
    </row>
    <row r="3" customFormat="false" ht="15" hidden="false" customHeight="false" outlineLevel="0" collapsed="false">
      <c r="A3" s="2" t="s">
        <v>27</v>
      </c>
      <c r="B3" s="2" t="s">
        <v>28</v>
      </c>
      <c r="C3" s="2" t="s">
        <v>20</v>
      </c>
      <c r="D3" s="2" t="n">
        <v>23</v>
      </c>
      <c r="E3" s="2" t="n">
        <v>1613</v>
      </c>
      <c r="F3" s="2" t="n">
        <v>6063</v>
      </c>
      <c r="G3" s="2" t="n">
        <v>921404</v>
      </c>
      <c r="H3" s="2" t="n">
        <v>26267</v>
      </c>
      <c r="I3" s="3" t="n">
        <v>0.1766</v>
      </c>
      <c r="J3" s="2" t="n">
        <v>70</v>
      </c>
      <c r="K3" s="2" t="n">
        <v>9332</v>
      </c>
      <c r="L3" s="4" t="s">
        <v>21</v>
      </c>
      <c r="M3" s="2" t="s">
        <v>22</v>
      </c>
      <c r="N3" s="2" t="n">
        <v>4</v>
      </c>
      <c r="O3" s="2" t="s">
        <v>23</v>
      </c>
      <c r="P3" s="2" t="s">
        <v>29</v>
      </c>
      <c r="Q3" s="2" t="s">
        <v>25</v>
      </c>
      <c r="R3" s="2" t="s">
        <v>26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20</v>
      </c>
      <c r="D4" s="2" t="n">
        <v>22</v>
      </c>
      <c r="E4" s="2" t="n">
        <v>1613</v>
      </c>
      <c r="F4" s="2" t="n">
        <v>6365</v>
      </c>
      <c r="G4" s="2" t="n">
        <v>941715</v>
      </c>
      <c r="H4" s="2" t="n">
        <v>28471</v>
      </c>
      <c r="I4" s="3" t="n">
        <v>0.1846</v>
      </c>
      <c r="J4" s="2" t="n">
        <v>84</v>
      </c>
      <c r="K4" s="2" t="n">
        <v>9136</v>
      </c>
      <c r="L4" s="4" t="s">
        <v>21</v>
      </c>
      <c r="M4" s="2" t="s">
        <v>22</v>
      </c>
      <c r="N4" s="2" t="n">
        <v>4</v>
      </c>
      <c r="O4" s="2" t="s">
        <v>23</v>
      </c>
      <c r="P4" s="2" t="s">
        <v>32</v>
      </c>
      <c r="Q4" s="2" t="s">
        <v>25</v>
      </c>
      <c r="R4" s="2" t="s">
        <v>26</v>
      </c>
    </row>
    <row r="5" customFormat="false" ht="15" hidden="false" customHeight="false" outlineLevel="0" collapsed="false">
      <c r="A5" s="2" t="s">
        <v>33</v>
      </c>
      <c r="B5" s="2" t="s">
        <v>34</v>
      </c>
      <c r="C5" s="2" t="s">
        <v>20</v>
      </c>
      <c r="D5" s="2" t="n">
        <v>20</v>
      </c>
      <c r="E5" s="2" t="n">
        <v>1589</v>
      </c>
      <c r="F5" s="2" t="n">
        <v>5855</v>
      </c>
      <c r="G5" s="2" t="n">
        <v>780429</v>
      </c>
      <c r="H5" s="2" t="n">
        <v>25071</v>
      </c>
      <c r="I5" s="3" t="n">
        <v>0.159</v>
      </c>
      <c r="J5" s="2" t="n">
        <v>77</v>
      </c>
      <c r="K5" s="2" t="n">
        <v>10328</v>
      </c>
      <c r="L5" s="4" t="s">
        <v>21</v>
      </c>
      <c r="M5" s="2" t="s">
        <v>22</v>
      </c>
      <c r="N5" s="2" t="n">
        <v>4</v>
      </c>
      <c r="O5" s="2" t="s">
        <v>23</v>
      </c>
      <c r="P5" s="2" t="s">
        <v>35</v>
      </c>
      <c r="Q5" s="2" t="s">
        <v>25</v>
      </c>
      <c r="R5" s="2" t="s">
        <v>26</v>
      </c>
    </row>
    <row r="6" customFormat="false" ht="15" hidden="false" customHeight="false" outlineLevel="0" collapsed="false">
      <c r="A6" s="2" t="s">
        <v>36</v>
      </c>
      <c r="B6" s="2" t="s">
        <v>37</v>
      </c>
      <c r="C6" s="2" t="s">
        <v>20</v>
      </c>
      <c r="D6" s="2" t="n">
        <v>25</v>
      </c>
      <c r="E6" s="2" t="n">
        <v>1597</v>
      </c>
      <c r="F6" s="2" t="n">
        <v>6461</v>
      </c>
      <c r="G6" s="2" t="n">
        <v>883038</v>
      </c>
      <c r="H6" s="2" t="n">
        <v>29445</v>
      </c>
      <c r="I6" s="3" t="n">
        <v>0.1811</v>
      </c>
      <c r="J6" s="2" t="n">
        <v>82</v>
      </c>
      <c r="K6" s="2" t="n">
        <v>9898</v>
      </c>
      <c r="L6" s="4" t="s">
        <v>21</v>
      </c>
      <c r="M6" s="2" t="s">
        <v>22</v>
      </c>
      <c r="N6" s="2" t="n">
        <v>4</v>
      </c>
      <c r="O6" s="2" t="s">
        <v>23</v>
      </c>
      <c r="P6" s="2" t="s">
        <v>38</v>
      </c>
      <c r="Q6" s="2" t="s">
        <v>25</v>
      </c>
      <c r="R6" s="2" t="s">
        <v>26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20</v>
      </c>
      <c r="D7" s="2" t="n">
        <v>20</v>
      </c>
      <c r="E7" s="2" t="n">
        <v>1597</v>
      </c>
      <c r="F7" s="2" t="n">
        <v>5478</v>
      </c>
      <c r="G7" s="2" t="n">
        <v>796799</v>
      </c>
      <c r="H7" s="2" t="n">
        <v>24458</v>
      </c>
      <c r="I7" s="3" t="n">
        <v>0.1576</v>
      </c>
      <c r="J7" s="2" t="n">
        <v>73</v>
      </c>
      <c r="K7" s="2" t="n">
        <v>9571</v>
      </c>
      <c r="L7" s="4" t="s">
        <v>21</v>
      </c>
      <c r="M7" s="2" t="s">
        <v>22</v>
      </c>
      <c r="N7" s="2" t="n">
        <v>4</v>
      </c>
      <c r="O7" s="2" t="s">
        <v>23</v>
      </c>
      <c r="P7" s="2" t="s">
        <v>41</v>
      </c>
      <c r="Q7" s="2" t="s">
        <v>42</v>
      </c>
      <c r="R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20</v>
      </c>
      <c r="D8" s="2" t="n">
        <v>22</v>
      </c>
      <c r="E8" s="2" t="n">
        <v>1605</v>
      </c>
      <c r="F8" s="2" t="n">
        <v>6068</v>
      </c>
      <c r="G8" s="2" t="n">
        <v>854036</v>
      </c>
      <c r="H8" s="2" t="n">
        <v>25159</v>
      </c>
      <c r="I8" s="3" t="n">
        <v>0.1677</v>
      </c>
      <c r="J8" s="2" t="n">
        <v>80</v>
      </c>
      <c r="K8" s="2" t="n">
        <v>10065</v>
      </c>
      <c r="L8" s="4" t="s">
        <v>21</v>
      </c>
      <c r="M8" s="2" t="s">
        <v>22</v>
      </c>
      <c r="N8" s="2" t="n">
        <v>4</v>
      </c>
      <c r="O8" s="2" t="s">
        <v>23</v>
      </c>
      <c r="P8" s="2" t="s">
        <v>32</v>
      </c>
      <c r="Q8" s="2" t="s">
        <v>42</v>
      </c>
      <c r="R8" s="2" t="s">
        <v>43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20</v>
      </c>
      <c r="D9" s="2" t="n">
        <v>23</v>
      </c>
      <c r="E9" s="2" t="n">
        <v>1621</v>
      </c>
      <c r="F9" s="2" t="n">
        <v>5385</v>
      </c>
      <c r="G9" s="2" t="n">
        <v>952870</v>
      </c>
      <c r="H9" s="2" t="n">
        <v>26755</v>
      </c>
      <c r="I9" s="3" t="n">
        <v>0.1773</v>
      </c>
      <c r="J9" s="2" t="n">
        <v>75</v>
      </c>
      <c r="K9" s="2" t="n">
        <v>9236</v>
      </c>
      <c r="L9" s="4" t="s">
        <v>21</v>
      </c>
      <c r="M9" s="2" t="s">
        <v>22</v>
      </c>
      <c r="N9" s="2" t="n">
        <v>4</v>
      </c>
      <c r="O9" s="2" t="s">
        <v>23</v>
      </c>
      <c r="P9" s="2" t="s">
        <v>29</v>
      </c>
      <c r="Q9" s="2" t="s">
        <v>42</v>
      </c>
      <c r="R9" s="2" t="s">
        <v>43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20</v>
      </c>
      <c r="D10" s="2" t="n">
        <v>20</v>
      </c>
      <c r="E10" s="2" t="n">
        <v>1597</v>
      </c>
      <c r="F10" s="2" t="n">
        <v>5654</v>
      </c>
      <c r="G10" s="2" t="n">
        <v>839357</v>
      </c>
      <c r="H10" s="2" t="n">
        <v>27750</v>
      </c>
      <c r="I10" s="3" t="n">
        <v>0.1693</v>
      </c>
      <c r="J10" s="2" t="n">
        <v>75</v>
      </c>
      <c r="K10" s="2" t="n">
        <v>9420</v>
      </c>
      <c r="L10" s="4" t="s">
        <v>21</v>
      </c>
      <c r="M10" s="2" t="s">
        <v>22</v>
      </c>
      <c r="N10" s="2" t="n">
        <v>4</v>
      </c>
      <c r="O10" s="2" t="s">
        <v>23</v>
      </c>
      <c r="P10" s="2" t="s">
        <v>50</v>
      </c>
      <c r="Q10" s="2" t="s">
        <v>42</v>
      </c>
      <c r="R10" s="2" t="s">
        <v>43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20</v>
      </c>
      <c r="D11" s="2" t="n">
        <v>21</v>
      </c>
      <c r="E11" s="2" t="n">
        <v>1581</v>
      </c>
      <c r="F11" s="2" t="n">
        <v>5223</v>
      </c>
      <c r="G11" s="2" t="n">
        <v>774924</v>
      </c>
      <c r="H11" s="2" t="n">
        <v>27797</v>
      </c>
      <c r="I11" s="3" t="n">
        <v>0.1608</v>
      </c>
      <c r="J11" s="2" t="n">
        <v>68</v>
      </c>
      <c r="K11" s="2" t="n">
        <v>9346</v>
      </c>
      <c r="L11" s="4" t="s">
        <v>21</v>
      </c>
      <c r="M11" s="2" t="s">
        <v>22</v>
      </c>
      <c r="N11" s="2" t="n">
        <v>4</v>
      </c>
      <c r="O11" s="2" t="s">
        <v>23</v>
      </c>
      <c r="P11" s="2" t="s">
        <v>50</v>
      </c>
      <c r="Q11" s="2" t="s">
        <v>42</v>
      </c>
      <c r="R11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5" t="s">
        <v>53</v>
      </c>
    </row>
    <row r="2" customFormat="false" ht="15" hidden="false" customHeight="true" outlineLevel="0" collapsed="false">
      <c r="A2" s="6" t="s">
        <v>54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</row>
    <row r="6" customFormat="false" ht="15" hidden="false" customHeight="false" outlineLevel="0" collapsed="false">
      <c r="A6" s="7" t="s">
        <v>55</v>
      </c>
      <c r="D6" s="7" t="s">
        <v>56</v>
      </c>
    </row>
    <row r="7" customFormat="false" ht="15" hidden="false" customHeight="false" outlineLevel="0" collapsed="false">
      <c r="A7" s="8" t="s">
        <v>21</v>
      </c>
      <c r="B7" s="9" t="n">
        <f aca="false">COUNTIF(Runs!L:L,"PASS")</f>
        <v>10</v>
      </c>
      <c r="D7" s="8" t="s">
        <v>9</v>
      </c>
      <c r="E7" s="10" t="n">
        <f aca="false">AVERAGE(Runs!J2:J11)</f>
        <v>75.4</v>
      </c>
    </row>
    <row r="8" customFormat="false" ht="15" hidden="false" customHeight="false" outlineLevel="0" collapsed="false">
      <c r="A8" s="8" t="s">
        <v>57</v>
      </c>
      <c r="B8" s="9" t="n">
        <f aca="false">COUNTIF(Runs!L:L,"FAIL")</f>
        <v>0</v>
      </c>
      <c r="D8" s="8" t="s">
        <v>10</v>
      </c>
      <c r="E8" s="10" t="n">
        <f aca="false">AVERAGE(Runs!K2:K11)</f>
        <v>9656.3</v>
      </c>
    </row>
    <row r="9" customFormat="false" ht="15" hidden="false" customHeight="false" outlineLevel="0" collapsed="false">
      <c r="A9" s="8" t="s">
        <v>58</v>
      </c>
      <c r="B9" s="9" t="n">
        <f aca="false">COUNTIF(Runs!L:L,"NEEDS_HUMAN")</f>
        <v>0</v>
      </c>
      <c r="D9" s="8" t="s">
        <v>59</v>
      </c>
      <c r="E9" s="11" t="n">
        <f aca="false">AVERAGE(Runs!I2:I11)</f>
        <v>0.16925</v>
      </c>
    </row>
    <row r="10" customFormat="false" ht="15" hidden="false" customHeight="false" outlineLevel="0" collapsed="false">
      <c r="A10" s="8" t="s">
        <v>60</v>
      </c>
      <c r="B10" s="9" t="n">
        <f aca="false">COUNTA(Runs!A:A)-1</f>
        <v>10</v>
      </c>
      <c r="D10" s="8" t="s">
        <v>61</v>
      </c>
      <c r="E10" s="12" t="n">
        <f aca="false">SUM(Runs!I2:I11)</f>
        <v>1.6925</v>
      </c>
    </row>
    <row r="11" customFormat="false" ht="15" hidden="false" customHeight="false" outlineLevel="0" collapsed="false">
      <c r="D11" s="8" t="s">
        <v>62</v>
      </c>
      <c r="E11" s="10" t="n">
        <f aca="false">AVERAGE(Runs!F2:F11)</f>
        <v>5732.8</v>
      </c>
    </row>
    <row r="12" customFormat="false" ht="15" hidden="false" customHeight="false" outlineLevel="0" collapsed="false">
      <c r="D12" s="8" t="s">
        <v>3</v>
      </c>
      <c r="E12" s="13" t="n">
        <f aca="false">AVERAGE(Runs!D2:D11)</f>
        <v>21.5</v>
      </c>
    </row>
    <row r="14" customFormat="false" ht="15" hidden="false" customHeight="false" outlineLevel="0" collapsed="false">
      <c r="A14" s="7" t="s">
        <v>63</v>
      </c>
    </row>
    <row r="15" customFormat="false" ht="15" hidden="false" customHeight="true" outlineLevel="0" collapsed="false">
      <c r="A15" s="6" t="s">
        <v>64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</row>
    <row r="17" customFormat="false" ht="15" hidden="false" customHeight="false" outlineLevel="0" collapsed="false">
      <c r="A17" s="7" t="s">
        <v>65</v>
      </c>
      <c r="B17" s="7" t="s">
        <v>66</v>
      </c>
      <c r="C17" s="7" t="s">
        <v>67</v>
      </c>
      <c r="D17" s="7" t="s">
        <v>68</v>
      </c>
    </row>
    <row r="18" customFormat="false" ht="15" hidden="false" customHeight="false" outlineLevel="0" collapsed="false">
      <c r="A18" s="8" t="s">
        <v>69</v>
      </c>
      <c r="B18" s="8" t="s">
        <v>25</v>
      </c>
      <c r="C18" s="8" t="s">
        <v>25</v>
      </c>
      <c r="D18" s="8" t="s">
        <v>70</v>
      </c>
    </row>
    <row r="19" customFormat="false" ht="15" hidden="false" customHeight="false" outlineLevel="0" collapsed="false">
      <c r="A19" s="8" t="s">
        <v>71</v>
      </c>
      <c r="B19" s="8" t="s">
        <v>25</v>
      </c>
      <c r="C19" s="8" t="s">
        <v>25</v>
      </c>
      <c r="D19" s="8" t="s">
        <v>70</v>
      </c>
    </row>
    <row r="20" customFormat="false" ht="15" hidden="false" customHeight="false" outlineLevel="0" collapsed="false">
      <c r="A20" s="8" t="s">
        <v>72</v>
      </c>
      <c r="B20" s="8" t="s">
        <v>42</v>
      </c>
      <c r="C20" s="8" t="s">
        <v>42</v>
      </c>
      <c r="D20" s="8" t="s">
        <v>73</v>
      </c>
    </row>
    <row r="21" customFormat="false" ht="15" hidden="false" customHeight="false" outlineLevel="0" collapsed="false">
      <c r="A21" s="8" t="s">
        <v>74</v>
      </c>
      <c r="B21" s="8" t="s">
        <v>75</v>
      </c>
      <c r="C21" s="8" t="s">
        <v>76</v>
      </c>
      <c r="D21" s="8" t="s">
        <v>77</v>
      </c>
    </row>
    <row r="23" customFormat="false" ht="15" hidden="false" customHeight="true" outlineLevel="0" collapsed="false">
      <c r="A23" s="14" t="s">
        <v>78</v>
      </c>
      <c r="B23" s="14"/>
      <c r="C23" s="14"/>
      <c r="D23" s="14"/>
      <c r="E23" s="14"/>
      <c r="F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</row>
    <row r="27" customFormat="false" ht="15" hidden="false" customHeight="false" outlineLevel="0" collapsed="false">
      <c r="A27" s="7" t="s">
        <v>79</v>
      </c>
    </row>
    <row r="28" customFormat="false" ht="15" hidden="false" customHeight="true" outlineLevel="0" collapsed="false">
      <c r="A28" s="14" t="s">
        <v>80</v>
      </c>
      <c r="B28" s="14"/>
      <c r="C28" s="14"/>
      <c r="D28" s="14"/>
      <c r="E28" s="14"/>
      <c r="F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</row>
  </sheetData>
  <mergeCells count="4">
    <mergeCell ref="A2:F4"/>
    <mergeCell ref="A15:F16"/>
    <mergeCell ref="A23:F25"/>
    <mergeCell ref="A28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2026-09-02T20:04:54Z</dcterms:created>
  <dc:creator>openpyxl</dc:creator>
  <dc:description/>
  <dc:language>en-CA</dc:language>
  <cp:lastModifiedBy/>
  <dcterms:modified xsi:type="dcterms:W3CDTF">2026-09-02T20:04:54Z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